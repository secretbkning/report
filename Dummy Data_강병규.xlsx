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강병규\"/>
    </mc:Choice>
  </mc:AlternateContent>
  <xr:revisionPtr revIDLastSave="0" documentId="13_ncr:1_{CA16C32E-A977-47A1-8E62-89A72810E5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Lists" sheetId="2" state="hidden" r:id="rId2"/>
    <sheet name="Report_P1" sheetId="3" r:id="rId3"/>
    <sheet name="Report_P2" sheetId="4" r:id="rId4"/>
    <sheet name="Calc" sheetId="5" state="hidden" r:id="rId5"/>
  </sheets>
  <definedNames>
    <definedName name="PeriodList">Lists!$A$2:$A$5</definedName>
    <definedName name="_xlnm.Print_Area" localSheetId="2">Report_P1!$A$1:$H$20</definedName>
    <definedName name="_xlnm.Print_Area" localSheetId="3">Report_P2!$A$1:$G$20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K4" i="3"/>
  <c r="K3" i="3"/>
  <c r="K2" i="3"/>
  <c r="S44" i="1"/>
  <c r="S42" i="1"/>
  <c r="S41" i="1"/>
  <c r="R39" i="1"/>
  <c r="R43" i="1" s="1"/>
  <c r="R45" i="1" s="1"/>
  <c r="R47" i="1" s="1"/>
  <c r="Q39" i="1"/>
  <c r="Q43" i="1" s="1"/>
  <c r="Q45" i="1" s="1"/>
  <c r="Q47" i="1" s="1"/>
  <c r="P39" i="1"/>
  <c r="P43" i="1" s="1"/>
  <c r="P45" i="1" s="1"/>
  <c r="P47" i="1" s="1"/>
  <c r="O39" i="1"/>
  <c r="O43" i="1" s="1"/>
  <c r="O45" i="1" s="1"/>
  <c r="O47" i="1" s="1"/>
  <c r="N39" i="1"/>
  <c r="N43" i="1" s="1"/>
  <c r="N45" i="1" s="1"/>
  <c r="N47" i="1" s="1"/>
  <c r="M39" i="1"/>
  <c r="M43" i="1" s="1"/>
  <c r="M45" i="1" s="1"/>
  <c r="M47" i="1" s="1"/>
  <c r="L39" i="1"/>
  <c r="L43" i="1" s="1"/>
  <c r="L45" i="1" s="1"/>
  <c r="L47" i="1" s="1"/>
  <c r="K39" i="1"/>
  <c r="K43" i="1" s="1"/>
  <c r="K45" i="1" s="1"/>
  <c r="K47" i="1" s="1"/>
  <c r="J39" i="1"/>
  <c r="J43" i="1" s="1"/>
  <c r="J45" i="1" s="1"/>
  <c r="J47" i="1" s="1"/>
  <c r="I39" i="1"/>
  <c r="I43" i="1" s="1"/>
  <c r="I45" i="1" s="1"/>
  <c r="I47" i="1" s="1"/>
  <c r="H39" i="1"/>
  <c r="H43" i="1" s="1"/>
  <c r="H45" i="1" s="1"/>
  <c r="H47" i="1" s="1"/>
  <c r="G39" i="1"/>
  <c r="G43" i="1" s="1"/>
  <c r="G45" i="1" s="1"/>
  <c r="G47" i="1" s="1"/>
  <c r="F39" i="1"/>
  <c r="F43" i="1" s="1"/>
  <c r="F45" i="1" s="1"/>
  <c r="F47" i="1" s="1"/>
  <c r="E39" i="1"/>
  <c r="E43" i="1" s="1"/>
  <c r="E45" i="1" s="1"/>
  <c r="E47" i="1" s="1"/>
  <c r="D39" i="1"/>
  <c r="D43" i="1" s="1"/>
  <c r="D45" i="1" s="1"/>
  <c r="D47" i="1" s="1"/>
  <c r="S38" i="1"/>
  <c r="S37" i="1"/>
  <c r="S33" i="1"/>
  <c r="N32" i="1"/>
  <c r="N34" i="1" s="1"/>
  <c r="N36" i="1" s="1"/>
  <c r="M32" i="1"/>
  <c r="M34" i="1" s="1"/>
  <c r="M36" i="1" s="1"/>
  <c r="S31" i="1"/>
  <c r="S30" i="1"/>
  <c r="R28" i="1"/>
  <c r="R32" i="1" s="1"/>
  <c r="R34" i="1" s="1"/>
  <c r="R36" i="1" s="1"/>
  <c r="Q28" i="1"/>
  <c r="Q32" i="1" s="1"/>
  <c r="Q34" i="1" s="1"/>
  <c r="Q36" i="1" s="1"/>
  <c r="P28" i="1"/>
  <c r="P32" i="1" s="1"/>
  <c r="P34" i="1" s="1"/>
  <c r="P36" i="1" s="1"/>
  <c r="O28" i="1"/>
  <c r="O32" i="1" s="1"/>
  <c r="O34" i="1" s="1"/>
  <c r="O36" i="1" s="1"/>
  <c r="N28" i="1"/>
  <c r="M28" i="1"/>
  <c r="L28" i="1"/>
  <c r="L32" i="1" s="1"/>
  <c r="L34" i="1" s="1"/>
  <c r="L36" i="1" s="1"/>
  <c r="K28" i="1"/>
  <c r="K32" i="1" s="1"/>
  <c r="K34" i="1" s="1"/>
  <c r="K36" i="1" s="1"/>
  <c r="J28" i="1"/>
  <c r="J32" i="1" s="1"/>
  <c r="J34" i="1" s="1"/>
  <c r="J36" i="1" s="1"/>
  <c r="I28" i="1"/>
  <c r="I32" i="1" s="1"/>
  <c r="I34" i="1" s="1"/>
  <c r="I36" i="1" s="1"/>
  <c r="H28" i="1"/>
  <c r="H32" i="1" s="1"/>
  <c r="H34" i="1" s="1"/>
  <c r="H36" i="1" s="1"/>
  <c r="G28" i="1"/>
  <c r="G32" i="1" s="1"/>
  <c r="G34" i="1" s="1"/>
  <c r="G36" i="1" s="1"/>
  <c r="F28" i="1"/>
  <c r="F32" i="1" s="1"/>
  <c r="F34" i="1" s="1"/>
  <c r="F36" i="1" s="1"/>
  <c r="E28" i="1"/>
  <c r="E32" i="1" s="1"/>
  <c r="E34" i="1" s="1"/>
  <c r="E36" i="1" s="1"/>
  <c r="D28" i="1"/>
  <c r="D32" i="1" s="1"/>
  <c r="D34" i="1" s="1"/>
  <c r="D36" i="1" s="1"/>
  <c r="S27" i="1"/>
  <c r="S26" i="1"/>
  <c r="S22" i="1"/>
  <c r="S20" i="1"/>
  <c r="S19" i="1"/>
  <c r="R17" i="1"/>
  <c r="R21" i="1" s="1"/>
  <c r="R23" i="1" s="1"/>
  <c r="R25" i="1" s="1"/>
  <c r="Q17" i="1"/>
  <c r="Q21" i="1" s="1"/>
  <c r="Q23" i="1" s="1"/>
  <c r="Q25" i="1" s="1"/>
  <c r="P17" i="1"/>
  <c r="P21" i="1" s="1"/>
  <c r="P23" i="1" s="1"/>
  <c r="P25" i="1" s="1"/>
  <c r="O17" i="1"/>
  <c r="O21" i="1" s="1"/>
  <c r="O23" i="1" s="1"/>
  <c r="O25" i="1" s="1"/>
  <c r="N17" i="1"/>
  <c r="N21" i="1" s="1"/>
  <c r="N23" i="1" s="1"/>
  <c r="N25" i="1" s="1"/>
  <c r="M17" i="1"/>
  <c r="M21" i="1" s="1"/>
  <c r="M23" i="1" s="1"/>
  <c r="M25" i="1" s="1"/>
  <c r="L17" i="1"/>
  <c r="L21" i="1" s="1"/>
  <c r="L23" i="1" s="1"/>
  <c r="L25" i="1" s="1"/>
  <c r="K17" i="1"/>
  <c r="K21" i="1" s="1"/>
  <c r="K23" i="1" s="1"/>
  <c r="K25" i="1" s="1"/>
  <c r="J17" i="1"/>
  <c r="J21" i="1" s="1"/>
  <c r="J23" i="1" s="1"/>
  <c r="J25" i="1" s="1"/>
  <c r="I17" i="1"/>
  <c r="I21" i="1" s="1"/>
  <c r="I23" i="1" s="1"/>
  <c r="I25" i="1" s="1"/>
  <c r="H17" i="1"/>
  <c r="H21" i="1" s="1"/>
  <c r="H23" i="1" s="1"/>
  <c r="H25" i="1" s="1"/>
  <c r="G17" i="1"/>
  <c r="G21" i="1" s="1"/>
  <c r="F17" i="1"/>
  <c r="F21" i="1" s="1"/>
  <c r="F23" i="1" s="1"/>
  <c r="F25" i="1" s="1"/>
  <c r="E17" i="1"/>
  <c r="E21" i="1" s="1"/>
  <c r="E23" i="1" s="1"/>
  <c r="E25" i="1" s="1"/>
  <c r="D17" i="1"/>
  <c r="D21" i="1" s="1"/>
  <c r="D23" i="1" s="1"/>
  <c r="D25" i="1" s="1"/>
  <c r="S16" i="1"/>
  <c r="S15" i="1"/>
  <c r="S11" i="1"/>
  <c r="S9" i="1"/>
  <c r="S8" i="1"/>
  <c r="R6" i="1"/>
  <c r="R10" i="1" s="1"/>
  <c r="R12" i="1" s="1"/>
  <c r="R14" i="1" s="1"/>
  <c r="Q6" i="1"/>
  <c r="Q10" i="1" s="1"/>
  <c r="Q12" i="1" s="1"/>
  <c r="Q14" i="1" s="1"/>
  <c r="P6" i="1"/>
  <c r="P10" i="1" s="1"/>
  <c r="P12" i="1" s="1"/>
  <c r="P14" i="1" s="1"/>
  <c r="O6" i="1"/>
  <c r="O10" i="1" s="1"/>
  <c r="O12" i="1" s="1"/>
  <c r="O14" i="1" s="1"/>
  <c r="N6" i="1"/>
  <c r="N10" i="1" s="1"/>
  <c r="N12" i="1" s="1"/>
  <c r="N14" i="1" s="1"/>
  <c r="M6" i="1"/>
  <c r="M10" i="1" s="1"/>
  <c r="M12" i="1" s="1"/>
  <c r="M14" i="1" s="1"/>
  <c r="L6" i="1"/>
  <c r="L10" i="1" s="1"/>
  <c r="L12" i="1" s="1"/>
  <c r="L14" i="1" s="1"/>
  <c r="K6" i="1"/>
  <c r="K10" i="1" s="1"/>
  <c r="K12" i="1" s="1"/>
  <c r="K14" i="1" s="1"/>
  <c r="J6" i="1"/>
  <c r="J10" i="1" s="1"/>
  <c r="J12" i="1" s="1"/>
  <c r="J14" i="1" s="1"/>
  <c r="I6" i="1"/>
  <c r="I10" i="1" s="1"/>
  <c r="I12" i="1" s="1"/>
  <c r="I14" i="1" s="1"/>
  <c r="H6" i="1"/>
  <c r="H10" i="1" s="1"/>
  <c r="H12" i="1" s="1"/>
  <c r="H14" i="1" s="1"/>
  <c r="G6" i="1"/>
  <c r="G10" i="1" s="1"/>
  <c r="G12" i="1" s="1"/>
  <c r="G14" i="1" s="1"/>
  <c r="F6" i="1"/>
  <c r="F10" i="1" s="1"/>
  <c r="F12" i="1" s="1"/>
  <c r="F14" i="1" s="1"/>
  <c r="E6" i="1"/>
  <c r="E10" i="1" s="1"/>
  <c r="E12" i="1" s="1"/>
  <c r="E14" i="1" s="1"/>
  <c r="D6" i="1"/>
  <c r="D10" i="1" s="1"/>
  <c r="D12" i="1" s="1"/>
  <c r="D14" i="1" s="1"/>
  <c r="S5" i="1"/>
  <c r="S4" i="1"/>
  <c r="K5" i="3" l="1"/>
  <c r="K6" i="3"/>
  <c r="S47" i="1"/>
  <c r="S36" i="1"/>
  <c r="S32" i="1"/>
  <c r="S34" i="1" s="1"/>
  <c r="S14" i="1"/>
  <c r="G23" i="1"/>
  <c r="G25" i="1" s="1"/>
  <c r="S21" i="1"/>
  <c r="S23" i="1" s="1"/>
  <c r="S10" i="1"/>
  <c r="S12" i="1" s="1"/>
  <c r="S43" i="1"/>
  <c r="S45" i="1" s="1"/>
  <c r="J15" i="5" l="1"/>
  <c r="S6" i="1"/>
  <c r="S7" i="1" s="1"/>
  <c r="E8" i="5"/>
  <c r="S13" i="1"/>
  <c r="K2" i="5"/>
  <c r="F12" i="5"/>
  <c r="F17" i="3"/>
  <c r="K14" i="5"/>
  <c r="G7" i="5"/>
  <c r="G9" i="5"/>
  <c r="J3" i="5"/>
  <c r="B9" i="5"/>
  <c r="C11" i="3"/>
  <c r="N10" i="5"/>
  <c r="L12" i="5"/>
  <c r="H12" i="5"/>
  <c r="B14" i="5"/>
  <c r="D12" i="3"/>
  <c r="P4" i="5"/>
  <c r="O11" i="5"/>
  <c r="B7" i="3"/>
  <c r="D15" i="5"/>
  <c r="C6" i="3"/>
  <c r="K11" i="5"/>
  <c r="D11" i="3"/>
  <c r="N5" i="5"/>
  <c r="E4" i="5"/>
  <c r="B11" i="3"/>
  <c r="F13" i="5"/>
  <c r="L10" i="5"/>
  <c r="J12" i="5"/>
  <c r="P12" i="5"/>
  <c r="G7" i="3"/>
  <c r="C15" i="5"/>
  <c r="M9" i="5"/>
  <c r="G8" i="3"/>
  <c r="H8" i="3" s="1"/>
  <c r="J8" i="5"/>
  <c r="C19" i="3"/>
  <c r="E3" i="5"/>
  <c r="D12" i="5"/>
  <c r="B8" i="3"/>
  <c r="H2" i="5"/>
  <c r="F13" i="3"/>
  <c r="G5" i="5"/>
  <c r="I2" i="5"/>
  <c r="E7" i="5"/>
  <c r="E9" i="5"/>
  <c r="F4" i="5"/>
  <c r="K4" i="5"/>
  <c r="D8" i="5"/>
  <c r="J10" i="5"/>
  <c r="G3" i="5"/>
  <c r="E18" i="3"/>
  <c r="G5" i="3"/>
  <c r="I5" i="5"/>
  <c r="C3" i="5"/>
  <c r="K7" i="5"/>
  <c r="E5" i="5"/>
  <c r="C8" i="3"/>
  <c r="H6" i="5"/>
  <c r="B10" i="5"/>
  <c r="F6" i="3"/>
  <c r="C11" i="5"/>
  <c r="F15" i="3"/>
  <c r="F5" i="5"/>
  <c r="D8" i="3"/>
  <c r="I11" i="5"/>
  <c r="D7" i="5"/>
  <c r="L2" i="5"/>
  <c r="K8" i="5"/>
  <c r="D5" i="3"/>
  <c r="I3" i="5"/>
  <c r="F6" i="5"/>
  <c r="I10" i="5"/>
  <c r="B19" i="3"/>
  <c r="D15" i="3"/>
  <c r="F9" i="3"/>
  <c r="G14" i="5"/>
  <c r="L5" i="5"/>
  <c r="D4" i="5"/>
  <c r="G11" i="5"/>
  <c r="E13" i="3"/>
  <c r="O15" i="5"/>
  <c r="E10" i="3"/>
  <c r="K5" i="5"/>
  <c r="M6" i="5"/>
  <c r="F19" i="3"/>
  <c r="M2" i="5"/>
  <c r="G18" i="3"/>
  <c r="D11" i="5"/>
  <c r="E11" i="5"/>
  <c r="G6" i="5"/>
  <c r="D5" i="5"/>
  <c r="I13" i="5"/>
  <c r="P14" i="5"/>
  <c r="H5" i="5"/>
  <c r="G8" i="5"/>
  <c r="B17" i="3"/>
  <c r="I4" i="5"/>
  <c r="L6" i="5"/>
  <c r="N7" i="5"/>
  <c r="E15" i="3"/>
  <c r="N3" i="5"/>
  <c r="C10" i="3"/>
  <c r="K9" i="5"/>
  <c r="D14" i="3"/>
  <c r="D7" i="3"/>
  <c r="G10" i="5"/>
  <c r="J13" i="5"/>
  <c r="G15" i="3"/>
  <c r="F7" i="5"/>
  <c r="D10" i="5"/>
  <c r="E2" i="5"/>
  <c r="J5" i="5"/>
  <c r="M7" i="5"/>
  <c r="O8" i="5"/>
  <c r="G17" i="3"/>
  <c r="O4" i="5"/>
  <c r="C7" i="3"/>
  <c r="O6" i="5"/>
  <c r="N13" i="5"/>
  <c r="B5" i="5"/>
  <c r="B6" i="3"/>
  <c r="G12" i="3"/>
  <c r="E14" i="3"/>
  <c r="D19" i="3"/>
  <c r="L15" i="5"/>
  <c r="M15" i="5"/>
  <c r="F16" i="4" s="1"/>
  <c r="I6" i="5"/>
  <c r="O12" i="5"/>
  <c r="B6" i="5"/>
  <c r="I9" i="5"/>
  <c r="H11" i="5"/>
  <c r="B16" i="3"/>
  <c r="C9" i="5"/>
  <c r="K6" i="5"/>
  <c r="P5" i="5"/>
  <c r="B8" i="5"/>
  <c r="C14" i="3"/>
  <c r="G14" i="3"/>
  <c r="L3" i="5"/>
  <c r="F10" i="5"/>
  <c r="K13" i="5"/>
  <c r="K10" i="5"/>
  <c r="B12" i="3"/>
  <c r="O5" i="5"/>
  <c r="L7" i="5"/>
  <c r="O9" i="5"/>
  <c r="B11" i="5"/>
  <c r="B7" i="5"/>
  <c r="B3" i="5"/>
  <c r="N14" i="5"/>
  <c r="E6" i="5"/>
  <c r="C12" i="3"/>
  <c r="H14" i="5"/>
  <c r="N9" i="5"/>
  <c r="P10" i="5"/>
  <c r="E19" i="3"/>
  <c r="L4" i="5"/>
  <c r="C8" i="5"/>
  <c r="F18" i="3"/>
  <c r="J7" i="5"/>
  <c r="L14" i="5"/>
  <c r="F14" i="3"/>
  <c r="H10" i="5"/>
  <c r="D16" i="3"/>
  <c r="F3" i="5"/>
  <c r="P13" i="5"/>
  <c r="F5" i="3"/>
  <c r="P15" i="5"/>
  <c r="O10" i="5"/>
  <c r="B12" i="5"/>
  <c r="F2" i="5"/>
  <c r="M5" i="5"/>
  <c r="D9" i="5"/>
  <c r="B10" i="3"/>
  <c r="O2" i="5"/>
  <c r="H9" i="5"/>
  <c r="D6" i="5"/>
  <c r="E12" i="5"/>
  <c r="F16" i="3"/>
  <c r="P6" i="5"/>
  <c r="N15" i="5"/>
  <c r="C16" i="3"/>
  <c r="D10" i="3"/>
  <c r="P11" i="5"/>
  <c r="C13" i="5"/>
  <c r="H4" i="5"/>
  <c r="N6" i="5"/>
  <c r="E10" i="5"/>
  <c r="I7" i="5"/>
  <c r="O13" i="5"/>
  <c r="O19" i="5" s="1"/>
  <c r="J4" i="5"/>
  <c r="C18" i="3"/>
  <c r="C9" i="3"/>
  <c r="D3" i="5"/>
  <c r="L11" i="5"/>
  <c r="C4" i="5"/>
  <c r="N8" i="5"/>
  <c r="P9" i="5"/>
  <c r="J2" i="5"/>
  <c r="M4" i="5"/>
  <c r="K3" i="5"/>
  <c r="F11" i="3"/>
  <c r="C7" i="5"/>
  <c r="L13" i="5"/>
  <c r="I12" i="5"/>
  <c r="H15" i="5"/>
  <c r="F11" i="4" s="1"/>
  <c r="D18" i="3"/>
  <c r="G4" i="5"/>
  <c r="B5" i="3"/>
  <c r="M13" i="5"/>
  <c r="B2" i="5"/>
  <c r="N11" i="5"/>
  <c r="C5" i="3"/>
  <c r="I8" i="5"/>
  <c r="F12" i="3"/>
  <c r="B13" i="5"/>
  <c r="D14" i="5"/>
  <c r="F7" i="4" s="1"/>
  <c r="J6" i="5"/>
  <c r="O7" i="5"/>
  <c r="O17" i="5" s="1"/>
  <c r="F11" i="5"/>
  <c r="P2" i="5"/>
  <c r="F7" i="3"/>
  <c r="E11" i="3"/>
  <c r="C6" i="5"/>
  <c r="D9" i="3"/>
  <c r="O3" i="5"/>
  <c r="I15" i="5"/>
  <c r="G11" i="3"/>
  <c r="B4" i="5"/>
  <c r="C17" i="3"/>
  <c r="C14" i="5"/>
  <c r="B13" i="3"/>
  <c r="L8" i="5"/>
  <c r="P8" i="5"/>
  <c r="L9" i="5"/>
  <c r="G6" i="3"/>
  <c r="H7" i="5"/>
  <c r="B15" i="3"/>
  <c r="F10" i="3"/>
  <c r="E15" i="5"/>
  <c r="C12" i="5"/>
  <c r="M8" i="5"/>
  <c r="E13" i="5"/>
  <c r="G12" i="5"/>
  <c r="N4" i="5"/>
  <c r="O14" i="5"/>
  <c r="N2" i="5"/>
  <c r="C10" i="5"/>
  <c r="E12" i="3"/>
  <c r="K15" i="5"/>
  <c r="F14" i="4" s="1"/>
  <c r="C5" i="5"/>
  <c r="G16" i="3"/>
  <c r="J11" i="5"/>
  <c r="G9" i="3"/>
  <c r="F9" i="5"/>
  <c r="D17" i="3"/>
  <c r="C15" i="3"/>
  <c r="D6" i="3"/>
  <c r="D13" i="5"/>
  <c r="E6" i="3"/>
  <c r="F14" i="5"/>
  <c r="H13" i="5"/>
  <c r="N12" i="5"/>
  <c r="B14" i="3"/>
  <c r="J9" i="5"/>
  <c r="B18" i="3"/>
  <c r="B15" i="5"/>
  <c r="E16" i="3"/>
  <c r="E9" i="3"/>
  <c r="H8" i="5"/>
  <c r="C2" i="5"/>
  <c r="G13" i="5"/>
  <c r="G13" i="3"/>
  <c r="M10" i="5"/>
  <c r="G2" i="5"/>
  <c r="E17" i="3"/>
  <c r="E8" i="3"/>
  <c r="E14" i="5"/>
  <c r="F8" i="3"/>
  <c r="G15" i="5"/>
  <c r="I14" i="5"/>
  <c r="J14" i="5"/>
  <c r="F13" i="4" s="1"/>
  <c r="P7" i="5"/>
  <c r="M12" i="5"/>
  <c r="M14" i="5"/>
  <c r="E7" i="3"/>
  <c r="E5" i="3"/>
  <c r="M3" i="5"/>
  <c r="D13" i="3"/>
  <c r="M11" i="5"/>
  <c r="P3" i="5"/>
  <c r="F8" i="5"/>
  <c r="D2" i="5"/>
  <c r="K12" i="5"/>
  <c r="H3" i="5"/>
  <c r="G19" i="3"/>
  <c r="G10" i="3"/>
  <c r="F15" i="5"/>
  <c r="C13" i="3"/>
  <c r="B9" i="3"/>
  <c r="E18" i="5"/>
  <c r="H16" i="5"/>
  <c r="S17" i="1"/>
  <c r="S18" i="1" s="1"/>
  <c r="S25" i="1"/>
  <c r="S24" i="1" s="1"/>
  <c r="S39" i="1"/>
  <c r="S40" i="1" s="1"/>
  <c r="S35" i="1"/>
  <c r="S28" i="1"/>
  <c r="S29" i="1" s="1"/>
  <c r="S46" i="1"/>
  <c r="B19" i="5" l="1"/>
  <c r="B11" i="4"/>
  <c r="F19" i="5"/>
  <c r="B18" i="4"/>
  <c r="G18" i="5"/>
  <c r="H7" i="3"/>
  <c r="I17" i="5"/>
  <c r="F19" i="4"/>
  <c r="L17" i="5"/>
  <c r="F16" i="5"/>
  <c r="C9" i="4" s="1"/>
  <c r="B15" i="4"/>
  <c r="E17" i="5"/>
  <c r="D8" i="4" s="1"/>
  <c r="H5" i="3"/>
  <c r="H17" i="3"/>
  <c r="H15" i="3"/>
  <c r="J18" i="5"/>
  <c r="P18" i="5"/>
  <c r="I19" i="5"/>
  <c r="O18" i="5"/>
  <c r="B8" i="4"/>
  <c r="L18" i="5"/>
  <c r="B5" i="4"/>
  <c r="F15" i="4"/>
  <c r="I16" i="5"/>
  <c r="C12" i="4" s="1"/>
  <c r="P16" i="5"/>
  <c r="C19" i="4" s="1"/>
  <c r="M17" i="5"/>
  <c r="G19" i="5"/>
  <c r="E10" i="4" s="1"/>
  <c r="H19" i="5"/>
  <c r="B12" i="4"/>
  <c r="H12" i="3"/>
  <c r="F5" i="4"/>
  <c r="B18" i="5"/>
  <c r="E5" i="4" s="1"/>
  <c r="E16" i="5"/>
  <c r="C8" i="4" s="1"/>
  <c r="H14" i="3"/>
  <c r="D19" i="5"/>
  <c r="K18" i="5"/>
  <c r="F18" i="4"/>
  <c r="I18" i="5"/>
  <c r="P19" i="5"/>
  <c r="K16" i="5"/>
  <c r="C14" i="4" s="1"/>
  <c r="K19" i="5"/>
  <c r="H18" i="3"/>
  <c r="D16" i="5"/>
  <c r="C7" i="4" s="1"/>
  <c r="B16" i="5"/>
  <c r="C5" i="4" s="1"/>
  <c r="F17" i="5"/>
  <c r="D9" i="4" s="1"/>
  <c r="B17" i="5"/>
  <c r="C19" i="5"/>
  <c r="M16" i="5"/>
  <c r="C16" i="4" s="1"/>
  <c r="J16" i="5"/>
  <c r="C13" i="4" s="1"/>
  <c r="N19" i="5"/>
  <c r="N17" i="5"/>
  <c r="J17" i="5"/>
  <c r="D18" i="5"/>
  <c r="H19" i="3"/>
  <c r="B7" i="4"/>
  <c r="G17" i="5"/>
  <c r="F6" i="4"/>
  <c r="F9" i="4"/>
  <c r="F18" i="5"/>
  <c r="E9" i="4" s="1"/>
  <c r="C16" i="5"/>
  <c r="C6" i="4" s="1"/>
  <c r="G16" i="5"/>
  <c r="C10" i="4" s="1"/>
  <c r="E19" i="5"/>
  <c r="E8" i="4" s="1"/>
  <c r="L16" i="5"/>
  <c r="C15" i="4" s="1"/>
  <c r="M19" i="5"/>
  <c r="B6" i="4"/>
  <c r="K17" i="5"/>
  <c r="D20" i="3"/>
  <c r="B14" i="4"/>
  <c r="O16" i="5"/>
  <c r="C18" i="4" s="1"/>
  <c r="D18" i="4"/>
  <c r="B13" i="4"/>
  <c r="C20" i="3"/>
  <c r="B17" i="4"/>
  <c r="C17" i="5"/>
  <c r="L19" i="5"/>
  <c r="E20" i="3"/>
  <c r="H6" i="3"/>
  <c r="H10" i="3"/>
  <c r="J19" i="5"/>
  <c r="D17" i="5"/>
  <c r="P17" i="5"/>
  <c r="H9" i="3"/>
  <c r="B20" i="3"/>
  <c r="H16" i="3"/>
  <c r="B9" i="4"/>
  <c r="H11" i="3"/>
  <c r="F12" i="4"/>
  <c r="F10" i="4"/>
  <c r="C18" i="5"/>
  <c r="F17" i="4"/>
  <c r="H18" i="5"/>
  <c r="H17" i="5"/>
  <c r="D11" i="4" s="1"/>
  <c r="F20" i="3"/>
  <c r="N18" i="5"/>
  <c r="N16" i="5"/>
  <c r="C17" i="4" s="1"/>
  <c r="B10" i="4"/>
  <c r="H13" i="3"/>
  <c r="G20" i="3"/>
  <c r="B19" i="4"/>
  <c r="F8" i="4"/>
  <c r="C11" i="4"/>
  <c r="M18" i="5"/>
  <c r="B16" i="4"/>
  <c r="E18" i="4"/>
  <c r="D12" i="4" l="1"/>
  <c r="E12" i="4"/>
  <c r="G12" i="4" s="1"/>
  <c r="D13" i="4"/>
  <c r="E7" i="4"/>
  <c r="D17" i="4"/>
  <c r="E13" i="4"/>
  <c r="E17" i="4"/>
  <c r="E15" i="4"/>
  <c r="E16" i="4"/>
  <c r="E11" i="4"/>
  <c r="D16" i="4"/>
  <c r="G16" i="4" s="1"/>
  <c r="E19" i="4"/>
  <c r="D15" i="4"/>
  <c r="G15" i="4" s="1"/>
  <c r="G11" i="4"/>
  <c r="C20" i="4"/>
  <c r="D6" i="4"/>
  <c r="B20" i="4"/>
  <c r="E6" i="4"/>
  <c r="D10" i="4"/>
  <c r="G10" i="4" s="1"/>
  <c r="G18" i="4"/>
  <c r="D14" i="4"/>
  <c r="D19" i="4"/>
  <c r="E14" i="4"/>
  <c r="D7" i="4"/>
  <c r="G7" i="4" s="1"/>
  <c r="D5" i="4"/>
  <c r="G9" i="4"/>
  <c r="H20" i="3"/>
  <c r="F20" i="4"/>
  <c r="G17" i="4"/>
  <c r="G8" i="4"/>
  <c r="G13" i="4"/>
  <c r="D20" i="4" l="1"/>
  <c r="E20" i="4"/>
  <c r="G19" i="4"/>
  <c r="G5" i="4"/>
  <c r="G6" i="4"/>
  <c r="G14" i="4"/>
  <c r="G20" i="4"/>
</calcChain>
</file>

<file path=xl/sharedStrings.xml><?xml version="1.0" encoding="utf-8"?>
<sst xmlns="http://schemas.openxmlformats.org/spreadsheetml/2006/main" count="205" uniqueCount="80">
  <si>
    <t>(단위 : 천톤, 백만$)</t>
  </si>
  <si>
    <t>년월</t>
  </si>
  <si>
    <t>계획실적</t>
  </si>
  <si>
    <t>구분</t>
  </si>
  <si>
    <t>중국1</t>
  </si>
  <si>
    <t>중국2</t>
  </si>
  <si>
    <t>중국3</t>
  </si>
  <si>
    <t>중국4</t>
  </si>
  <si>
    <t>인도1</t>
  </si>
  <si>
    <t>인도2</t>
  </si>
  <si>
    <t>인도3</t>
  </si>
  <si>
    <t>유럽1</t>
  </si>
  <si>
    <t>유럽2</t>
  </si>
  <si>
    <t>유럽3</t>
  </si>
  <si>
    <t>유럽4</t>
  </si>
  <si>
    <t>미주1</t>
  </si>
  <si>
    <t>미주2</t>
  </si>
  <si>
    <t>미주3</t>
  </si>
  <si>
    <t>미주4</t>
  </si>
  <si>
    <t>합계</t>
  </si>
  <si>
    <t>계획</t>
  </si>
  <si>
    <t>판매량</t>
  </si>
  <si>
    <t>매출액</t>
  </si>
  <si>
    <t>매출원가</t>
  </si>
  <si>
    <t xml:space="preserve"> - 재료비</t>
  </si>
  <si>
    <t xml:space="preserve"> - 노무비</t>
  </si>
  <si>
    <t xml:space="preserve"> - 경비</t>
  </si>
  <si>
    <t>매출총이익</t>
  </si>
  <si>
    <t>판관비</t>
  </si>
  <si>
    <t>영업이익</t>
  </si>
  <si>
    <t>영업외</t>
  </si>
  <si>
    <t>경상이익</t>
  </si>
  <si>
    <t>실적</t>
  </si>
  <si>
    <t>기준월 옵션 (당월/누계) - 향후 월 추가 시 이 목록에 행 추가</t>
  </si>
  <si>
    <t>2026-01 당월</t>
  </si>
  <si>
    <t>2026-01 누계</t>
  </si>
  <si>
    <t>2026-02 당월</t>
  </si>
  <si>
    <t>2026-02 누계</t>
  </si>
  <si>
    <t>해외법인 손익 리포트 - 계획/실적 요약 (Page 1)</t>
  </si>
  <si>
    <t>계산용 파라미터 (건드리지 마세요)</t>
  </si>
  <si>
    <t>기준월 선택:</t>
  </si>
  <si>
    <t>연도</t>
  </si>
  <si>
    <t>월</t>
  </si>
  <si>
    <t>법인</t>
  </si>
  <si>
    <t>계획-판매량</t>
  </si>
  <si>
    <t>계획-매출액</t>
  </si>
  <si>
    <t>계획-경상이익</t>
  </si>
  <si>
    <t>실적-판매량</t>
  </si>
  <si>
    <t>실적-매출액</t>
  </si>
  <si>
    <t>실적-경상이익</t>
  </si>
  <si>
    <t>차이-경상이익</t>
  </si>
  <si>
    <t>모드</t>
  </si>
  <si>
    <t>시작일</t>
  </si>
  <si>
    <t>종료일</t>
  </si>
  <si>
    <t>해외법인 손익 리포트 - 경상이익 차이 및 주요 차이내역 (Page 2)</t>
  </si>
  <si>
    <t>경상이익차이</t>
  </si>
  <si>
    <t>물량차이</t>
  </si>
  <si>
    <t>롤마진차이</t>
  </si>
  <si>
    <t>제경비차이</t>
  </si>
  <si>
    <t>영업외차이</t>
  </si>
  <si>
    <t>검증(차이내역합-경상이익차이)</t>
  </si>
  <si>
    <t>계획판매량</t>
  </si>
  <si>
    <t>실적판매량</t>
  </si>
  <si>
    <t>계획매출액</t>
  </si>
  <si>
    <t>실적매출액</t>
  </si>
  <si>
    <t>계획재료비</t>
  </si>
  <si>
    <t>실적재료비</t>
  </si>
  <si>
    <t>계획노무비</t>
  </si>
  <si>
    <t>실적노무비</t>
  </si>
  <si>
    <t>계획경비</t>
  </si>
  <si>
    <t>실적경비</t>
  </si>
  <si>
    <t>계획판관비</t>
  </si>
  <si>
    <t>실적판관비</t>
  </si>
  <si>
    <t>계획영업외</t>
  </si>
  <si>
    <t>실적영업외</t>
  </si>
  <si>
    <t>계획롤마진</t>
  </si>
  <si>
    <t>실적롤마진</t>
  </si>
  <si>
    <t>계획제경비</t>
  </si>
  <si>
    <t>실적제경비</t>
  </si>
  <si>
    <t>2026-02 누계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</si>
</sst>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(#,##0\);\(\-#,##0\)"/>
    <numFmt numFmtId="177" formatCode="#,##0.0;[Red]\(#,##0.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i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14"/>
      <color rgb="FF1F3864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i/>
      <sz val="11"/>
      <color rgb="FF80808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rgb="FF1F3864"/>
      </top>
      <bottom style="thin">
        <color rgb="FFB7B7B7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6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77" fontId="0" fillId="0" borderId="1" xfId="0" applyNumberFormat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177" fontId="6" fillId="4" borderId="2" xfId="0" applyNumberFormat="1" applyFont="1" applyFill="1" applyBorder="1" applyAlignment="1">
      <alignment horizontal="right"/>
    </xf>
    <xf numFmtId="0" fontId="9" fillId="0" borderId="0" xfId="0" applyFont="1" applyAlignment="1"/>
    <xf numFmtId="0" fontId="8" fillId="0" borderId="1" xfId="0" applyFont="1" applyBorder="1" applyAlignment="1">
      <alignment horizontal="center"/>
    </xf>
  </cellXfs>
  <cellStyles count="1">
    <cellStyle name="표준" xfId="0" builtinId="0"/>
  </cellStyles>
  <dxfs count="5">
    <dxf>
      <fill>
        <patternFill patternType="solid">
          <fgColor rgb="FFFFEB9C"/>
          <bgColor rgb="FFFFEB9C"/>
        </patternFill>
      </fill>
    </dxf>
    <dxf>
      <fill>
        <patternFill patternType="solid">
          <fgColor rgb="FFFCE4E4"/>
          <bgColor rgb="FFFCE4E4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CE4E4"/>
          <bgColor rgb="FFFCE4E4"/>
        </patternFill>
      </fill>
    </dxf>
    <dxf>
      <fill>
        <patternFill patternType="solid">
          <fgColor rgb="FFE2EFDA"/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47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24" sqref="A24"/>
    </sheetView>
  </sheetViews>
  <sheetFormatPr defaultRowHeight="17" x14ac:dyDescent="0.45"/>
  <cols>
    <col min="3" max="3" width="12.33203125" style="4" customWidth="1"/>
  </cols>
  <sheetData>
    <row r="2" spans="1:19" x14ac:dyDescent="0.45">
      <c r="A2" t="s">
        <v>0</v>
      </c>
    </row>
    <row r="3" spans="1:19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45">
      <c r="A4" s="2">
        <v>46023</v>
      </c>
      <c r="B4" s="1" t="s">
        <v>20</v>
      </c>
      <c r="C4" t="s">
        <v>21</v>
      </c>
      <c r="D4">
        <v>8</v>
      </c>
      <c r="E4">
        <v>8</v>
      </c>
      <c r="F4">
        <v>8</v>
      </c>
      <c r="G4" s="3">
        <v>4</v>
      </c>
      <c r="H4">
        <v>8</v>
      </c>
      <c r="I4">
        <v>8</v>
      </c>
      <c r="J4">
        <v>8</v>
      </c>
      <c r="K4">
        <v>8</v>
      </c>
      <c r="L4">
        <v>8</v>
      </c>
      <c r="M4">
        <v>8</v>
      </c>
      <c r="N4">
        <v>8</v>
      </c>
      <c r="O4">
        <v>8</v>
      </c>
      <c r="P4">
        <v>8</v>
      </c>
      <c r="Q4">
        <v>8</v>
      </c>
      <c r="R4">
        <v>8</v>
      </c>
      <c r="S4">
        <f>+SUM(D4:F4,H4:R4)</f>
        <v>112</v>
      </c>
    </row>
    <row r="5" spans="1:19" x14ac:dyDescent="0.45">
      <c r="A5" s="2">
        <v>46023</v>
      </c>
      <c r="B5" s="1" t="s">
        <v>20</v>
      </c>
      <c r="C5" t="s">
        <v>22</v>
      </c>
      <c r="D5">
        <v>8</v>
      </c>
      <c r="E5">
        <v>8</v>
      </c>
      <c r="F5">
        <v>8</v>
      </c>
      <c r="G5" s="3">
        <v>4</v>
      </c>
      <c r="H5">
        <v>8</v>
      </c>
      <c r="I5">
        <v>8</v>
      </c>
      <c r="J5">
        <v>8</v>
      </c>
      <c r="K5">
        <v>8</v>
      </c>
      <c r="L5">
        <v>8</v>
      </c>
      <c r="M5">
        <v>8</v>
      </c>
      <c r="N5">
        <v>8</v>
      </c>
      <c r="O5">
        <v>8</v>
      </c>
      <c r="P5">
        <v>8</v>
      </c>
      <c r="Q5">
        <v>8</v>
      </c>
      <c r="R5">
        <v>8</v>
      </c>
      <c r="S5">
        <f>+SUM(D5:F5,H5:R5)</f>
        <v>112</v>
      </c>
    </row>
    <row r="6" spans="1:19" x14ac:dyDescent="0.45">
      <c r="A6" s="2">
        <v>46023</v>
      </c>
      <c r="B6" s="1" t="s">
        <v>20</v>
      </c>
      <c r="C6" t="s">
        <v>23</v>
      </c>
      <c r="D6">
        <f t="shared" ref="D6:R6" si="0">+SUM(D7:D9)</f>
        <v>5</v>
      </c>
      <c r="E6">
        <f t="shared" si="0"/>
        <v>5</v>
      </c>
      <c r="F6">
        <f t="shared" si="0"/>
        <v>5</v>
      </c>
      <c r="G6" s="3">
        <f t="shared" si="0"/>
        <v>3</v>
      </c>
      <c r="H6">
        <f t="shared" si="0"/>
        <v>5</v>
      </c>
      <c r="I6">
        <f t="shared" si="0"/>
        <v>5</v>
      </c>
      <c r="J6">
        <f t="shared" si="0"/>
        <v>5</v>
      </c>
      <c r="K6">
        <f t="shared" si="0"/>
        <v>5</v>
      </c>
      <c r="L6">
        <f t="shared" si="0"/>
        <v>5</v>
      </c>
      <c r="M6">
        <f t="shared" si="0"/>
        <v>5</v>
      </c>
      <c r="N6">
        <f t="shared" si="0"/>
        <v>5</v>
      </c>
      <c r="O6">
        <f t="shared" si="0"/>
        <v>5</v>
      </c>
      <c r="P6">
        <f t="shared" si="0"/>
        <v>5</v>
      </c>
      <c r="Q6">
        <f t="shared" si="0"/>
        <v>5</v>
      </c>
      <c r="R6">
        <f t="shared" si="0"/>
        <v>5</v>
      </c>
      <c r="S6">
        <f>+S5-S10</f>
        <v>69</v>
      </c>
    </row>
    <row r="7" spans="1:19" x14ac:dyDescent="0.45">
      <c r="A7" s="2">
        <v>46023</v>
      </c>
      <c r="B7" s="1" t="s">
        <v>20</v>
      </c>
      <c r="C7" t="s">
        <v>24</v>
      </c>
      <c r="D7">
        <v>3</v>
      </c>
      <c r="E7">
        <v>3</v>
      </c>
      <c r="F7">
        <v>3</v>
      </c>
      <c r="G7" s="3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f>+S6-S8-S9</f>
        <v>41</v>
      </c>
    </row>
    <row r="8" spans="1:19" x14ac:dyDescent="0.45">
      <c r="A8" s="2">
        <v>46023</v>
      </c>
      <c r="B8" s="1" t="s">
        <v>20</v>
      </c>
      <c r="C8" t="s">
        <v>25</v>
      </c>
      <c r="D8">
        <v>1</v>
      </c>
      <c r="E8">
        <v>1</v>
      </c>
      <c r="F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f>+SUM(D8:F8,H8:R8)</f>
        <v>14</v>
      </c>
    </row>
    <row r="9" spans="1:19" x14ac:dyDescent="0.45">
      <c r="A9" s="2">
        <v>46023</v>
      </c>
      <c r="B9" s="1" t="s">
        <v>20</v>
      </c>
      <c r="C9" t="s">
        <v>26</v>
      </c>
      <c r="D9">
        <v>1</v>
      </c>
      <c r="E9">
        <v>1</v>
      </c>
      <c r="F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f>+SUM(D9:F9,H9:R9)</f>
        <v>14</v>
      </c>
    </row>
    <row r="10" spans="1:19" x14ac:dyDescent="0.45">
      <c r="A10" s="2">
        <v>46023</v>
      </c>
      <c r="B10" s="1" t="s">
        <v>20</v>
      </c>
      <c r="C10" t="s">
        <v>27</v>
      </c>
      <c r="D10">
        <f t="shared" ref="D10:R10" si="1">+D5-D6</f>
        <v>3</v>
      </c>
      <c r="E10">
        <f t="shared" si="1"/>
        <v>3</v>
      </c>
      <c r="F10">
        <f t="shared" si="1"/>
        <v>3</v>
      </c>
      <c r="G10">
        <f t="shared" si="1"/>
        <v>1</v>
      </c>
      <c r="H10">
        <f t="shared" si="1"/>
        <v>3</v>
      </c>
      <c r="I10">
        <f t="shared" si="1"/>
        <v>3</v>
      </c>
      <c r="J10">
        <f t="shared" si="1"/>
        <v>3</v>
      </c>
      <c r="K10">
        <f t="shared" si="1"/>
        <v>3</v>
      </c>
      <c r="L10">
        <f t="shared" si="1"/>
        <v>3</v>
      </c>
      <c r="M10">
        <f t="shared" si="1"/>
        <v>3</v>
      </c>
      <c r="N10">
        <f t="shared" si="1"/>
        <v>3</v>
      </c>
      <c r="O10">
        <f t="shared" si="1"/>
        <v>3</v>
      </c>
      <c r="P10">
        <f t="shared" si="1"/>
        <v>3</v>
      </c>
      <c r="Q10">
        <f t="shared" si="1"/>
        <v>3</v>
      </c>
      <c r="R10">
        <f t="shared" si="1"/>
        <v>3</v>
      </c>
      <c r="S10">
        <f>+SUM(D10:R10)</f>
        <v>43</v>
      </c>
    </row>
    <row r="11" spans="1:19" x14ac:dyDescent="0.45">
      <c r="A11" s="2">
        <v>46023</v>
      </c>
      <c r="B11" s="1" t="s">
        <v>20</v>
      </c>
      <c r="C11" t="s">
        <v>28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f>+SUM(D11:R11)</f>
        <v>15</v>
      </c>
    </row>
    <row r="12" spans="1:19" x14ac:dyDescent="0.45">
      <c r="A12" s="2">
        <v>46023</v>
      </c>
      <c r="B12" s="1" t="s">
        <v>20</v>
      </c>
      <c r="C12" t="s">
        <v>29</v>
      </c>
      <c r="D12">
        <f t="shared" ref="D12:S12" si="2">+D10-D11</f>
        <v>2</v>
      </c>
      <c r="E12">
        <f t="shared" si="2"/>
        <v>2</v>
      </c>
      <c r="F12">
        <f t="shared" si="2"/>
        <v>2</v>
      </c>
      <c r="G12">
        <f t="shared" si="2"/>
        <v>0</v>
      </c>
      <c r="H12">
        <f t="shared" si="2"/>
        <v>2</v>
      </c>
      <c r="I12">
        <f t="shared" si="2"/>
        <v>2</v>
      </c>
      <c r="J12">
        <f t="shared" si="2"/>
        <v>2</v>
      </c>
      <c r="K12">
        <f t="shared" si="2"/>
        <v>2</v>
      </c>
      <c r="L12">
        <f t="shared" si="2"/>
        <v>2</v>
      </c>
      <c r="M12">
        <f t="shared" si="2"/>
        <v>2</v>
      </c>
      <c r="N12">
        <f t="shared" si="2"/>
        <v>2</v>
      </c>
      <c r="O12">
        <f t="shared" si="2"/>
        <v>2</v>
      </c>
      <c r="P12">
        <f t="shared" si="2"/>
        <v>2</v>
      </c>
      <c r="Q12">
        <f t="shared" si="2"/>
        <v>2</v>
      </c>
      <c r="R12">
        <f t="shared" si="2"/>
        <v>2</v>
      </c>
      <c r="S12">
        <f t="shared" si="2"/>
        <v>28</v>
      </c>
    </row>
    <row r="13" spans="1:19" x14ac:dyDescent="0.45">
      <c r="A13" s="2">
        <v>46023</v>
      </c>
      <c r="B13" s="1" t="s">
        <v>20</v>
      </c>
      <c r="C13" t="s">
        <v>30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f>+S14-S12</f>
        <v>-15</v>
      </c>
    </row>
    <row r="14" spans="1:19" x14ac:dyDescent="0.45">
      <c r="A14" s="2">
        <v>46023</v>
      </c>
      <c r="B14" s="1" t="s">
        <v>20</v>
      </c>
      <c r="C14" t="s">
        <v>31</v>
      </c>
      <c r="D14">
        <f t="shared" ref="D14:R14" si="3">+D12+D13</f>
        <v>1</v>
      </c>
      <c r="E14">
        <f t="shared" si="3"/>
        <v>1</v>
      </c>
      <c r="F14">
        <f t="shared" si="3"/>
        <v>1</v>
      </c>
      <c r="G14">
        <f t="shared" si="3"/>
        <v>-1</v>
      </c>
      <c r="H14">
        <f t="shared" si="3"/>
        <v>1</v>
      </c>
      <c r="I14">
        <f t="shared" si="3"/>
        <v>1</v>
      </c>
      <c r="J14">
        <f t="shared" si="3"/>
        <v>1</v>
      </c>
      <c r="K14">
        <f t="shared" si="3"/>
        <v>1</v>
      </c>
      <c r="L14">
        <f t="shared" si="3"/>
        <v>1</v>
      </c>
      <c r="M14">
        <f t="shared" si="3"/>
        <v>1</v>
      </c>
      <c r="N14">
        <f t="shared" si="3"/>
        <v>1</v>
      </c>
      <c r="O14">
        <f t="shared" si="3"/>
        <v>1</v>
      </c>
      <c r="P14">
        <f t="shared" si="3"/>
        <v>1</v>
      </c>
      <c r="Q14">
        <f t="shared" si="3"/>
        <v>1</v>
      </c>
      <c r="R14">
        <f t="shared" si="3"/>
        <v>1</v>
      </c>
      <c r="S14">
        <f>+SUM(D14:R14)</f>
        <v>13</v>
      </c>
    </row>
    <row r="15" spans="1:19" x14ac:dyDescent="0.45">
      <c r="A15" s="2">
        <v>46023</v>
      </c>
      <c r="B15" s="1" t="s">
        <v>32</v>
      </c>
      <c r="C15" t="s">
        <v>21</v>
      </c>
      <c r="D15">
        <v>7</v>
      </c>
      <c r="E15">
        <v>7</v>
      </c>
      <c r="F15">
        <v>7</v>
      </c>
      <c r="G15" s="3">
        <v>4</v>
      </c>
      <c r="H15">
        <v>6</v>
      </c>
      <c r="I15">
        <v>6</v>
      </c>
      <c r="J15">
        <v>6</v>
      </c>
      <c r="K15">
        <v>9</v>
      </c>
      <c r="L15">
        <v>9</v>
      </c>
      <c r="N15">
        <v>9</v>
      </c>
      <c r="O15">
        <v>12</v>
      </c>
      <c r="P15">
        <v>12</v>
      </c>
      <c r="Q15">
        <v>12</v>
      </c>
      <c r="R15">
        <v>12</v>
      </c>
      <c r="S15">
        <f>+SUM(D15:F15,H15:R15)</f>
        <v>114</v>
      </c>
    </row>
    <row r="16" spans="1:19" x14ac:dyDescent="0.45">
      <c r="A16" s="2">
        <v>46023</v>
      </c>
      <c r="B16" s="1" t="s">
        <v>32</v>
      </c>
      <c r="C16" t="s">
        <v>22</v>
      </c>
      <c r="D16">
        <v>5</v>
      </c>
      <c r="E16">
        <v>5</v>
      </c>
      <c r="F16">
        <v>5</v>
      </c>
      <c r="G16" s="3">
        <v>4</v>
      </c>
      <c r="H16">
        <v>8</v>
      </c>
      <c r="I16">
        <v>8</v>
      </c>
      <c r="J16">
        <v>8</v>
      </c>
      <c r="K16">
        <v>8</v>
      </c>
      <c r="L16">
        <v>8</v>
      </c>
      <c r="N16">
        <v>8</v>
      </c>
      <c r="O16">
        <v>16</v>
      </c>
      <c r="P16">
        <v>16</v>
      </c>
      <c r="Q16">
        <v>16</v>
      </c>
      <c r="R16">
        <v>16</v>
      </c>
      <c r="S16">
        <f>+SUM(D16:F16,H16:R16)</f>
        <v>127</v>
      </c>
    </row>
    <row r="17" spans="1:19" x14ac:dyDescent="0.45">
      <c r="A17" s="2">
        <v>46023</v>
      </c>
      <c r="B17" s="1" t="s">
        <v>32</v>
      </c>
      <c r="C17" t="s">
        <v>23</v>
      </c>
      <c r="D17">
        <f t="shared" ref="D17:R17" si="4">+SUM(D18:D20)</f>
        <v>4</v>
      </c>
      <c r="E17">
        <f t="shared" si="4"/>
        <v>4</v>
      </c>
      <c r="F17">
        <f t="shared" si="4"/>
        <v>4</v>
      </c>
      <c r="G17" s="3">
        <f t="shared" si="4"/>
        <v>3</v>
      </c>
      <c r="H17">
        <f t="shared" si="4"/>
        <v>6</v>
      </c>
      <c r="I17">
        <f t="shared" si="4"/>
        <v>6</v>
      </c>
      <c r="J17">
        <f t="shared" si="4"/>
        <v>6</v>
      </c>
      <c r="K17">
        <f t="shared" si="4"/>
        <v>6</v>
      </c>
      <c r="L17">
        <f t="shared" si="4"/>
        <v>6</v>
      </c>
      <c r="M17">
        <f t="shared" si="4"/>
        <v>0</v>
      </c>
      <c r="N17">
        <f t="shared" si="4"/>
        <v>6</v>
      </c>
      <c r="O17">
        <f t="shared" si="4"/>
        <v>10</v>
      </c>
      <c r="P17">
        <f t="shared" si="4"/>
        <v>10</v>
      </c>
      <c r="Q17">
        <f t="shared" si="4"/>
        <v>10</v>
      </c>
      <c r="R17">
        <f t="shared" si="4"/>
        <v>10</v>
      </c>
      <c r="S17">
        <f>+S16-S21</f>
        <v>87</v>
      </c>
    </row>
    <row r="18" spans="1:19" x14ac:dyDescent="0.45">
      <c r="A18" s="2">
        <v>46023</v>
      </c>
      <c r="B18" s="1" t="s">
        <v>32</v>
      </c>
      <c r="C18" t="s">
        <v>24</v>
      </c>
      <c r="D18">
        <v>2</v>
      </c>
      <c r="E18">
        <v>2</v>
      </c>
      <c r="F18">
        <v>2</v>
      </c>
      <c r="G18" s="3">
        <v>3</v>
      </c>
      <c r="H18">
        <v>4</v>
      </c>
      <c r="I18">
        <v>4</v>
      </c>
      <c r="J18">
        <v>4</v>
      </c>
      <c r="K18">
        <v>4</v>
      </c>
      <c r="L18">
        <v>4</v>
      </c>
      <c r="N18">
        <v>4</v>
      </c>
      <c r="O18">
        <v>8</v>
      </c>
      <c r="P18">
        <v>8</v>
      </c>
      <c r="Q18">
        <v>8</v>
      </c>
      <c r="R18">
        <v>8</v>
      </c>
      <c r="S18">
        <f>+S17-S19-S20</f>
        <v>61</v>
      </c>
    </row>
    <row r="19" spans="1:19" x14ac:dyDescent="0.45">
      <c r="A19" s="2">
        <v>46023</v>
      </c>
      <c r="B19" s="1" t="s">
        <v>32</v>
      </c>
      <c r="C19" t="s">
        <v>25</v>
      </c>
      <c r="D19">
        <v>1</v>
      </c>
      <c r="E19">
        <v>1</v>
      </c>
      <c r="F19">
        <v>1</v>
      </c>
      <c r="H19">
        <v>1</v>
      </c>
      <c r="I19">
        <v>1</v>
      </c>
      <c r="J19">
        <v>1</v>
      </c>
      <c r="K19">
        <v>1</v>
      </c>
      <c r="L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f>+SUM(D19:F19,H19:R19)</f>
        <v>13</v>
      </c>
    </row>
    <row r="20" spans="1:19" x14ac:dyDescent="0.45">
      <c r="A20" s="2">
        <v>46023</v>
      </c>
      <c r="B20" s="1" t="s">
        <v>32</v>
      </c>
      <c r="C20" t="s">
        <v>26</v>
      </c>
      <c r="D20">
        <v>1</v>
      </c>
      <c r="E20">
        <v>1</v>
      </c>
      <c r="F20">
        <v>1</v>
      </c>
      <c r="H20">
        <v>1</v>
      </c>
      <c r="I20">
        <v>1</v>
      </c>
      <c r="J20">
        <v>1</v>
      </c>
      <c r="K20">
        <v>1</v>
      </c>
      <c r="L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f>+SUM(D20:F20,H20:R20)</f>
        <v>13</v>
      </c>
    </row>
    <row r="21" spans="1:19" x14ac:dyDescent="0.45">
      <c r="A21" s="2">
        <v>46023</v>
      </c>
      <c r="B21" s="1" t="s">
        <v>32</v>
      </c>
      <c r="C21" t="s">
        <v>27</v>
      </c>
      <c r="D21">
        <f t="shared" ref="D21:R21" si="5">+D16-D17</f>
        <v>1</v>
      </c>
      <c r="E21">
        <f t="shared" si="5"/>
        <v>1</v>
      </c>
      <c r="F21">
        <f t="shared" si="5"/>
        <v>1</v>
      </c>
      <c r="G21">
        <f t="shared" si="5"/>
        <v>1</v>
      </c>
      <c r="H21">
        <f t="shared" si="5"/>
        <v>2</v>
      </c>
      <c r="I21">
        <f t="shared" si="5"/>
        <v>2</v>
      </c>
      <c r="J21">
        <f t="shared" si="5"/>
        <v>2</v>
      </c>
      <c r="K21">
        <f t="shared" si="5"/>
        <v>2</v>
      </c>
      <c r="L21">
        <f t="shared" si="5"/>
        <v>2</v>
      </c>
      <c r="M21">
        <f t="shared" si="5"/>
        <v>0</v>
      </c>
      <c r="N21">
        <f t="shared" si="5"/>
        <v>2</v>
      </c>
      <c r="O21">
        <f t="shared" si="5"/>
        <v>6</v>
      </c>
      <c r="P21">
        <f t="shared" si="5"/>
        <v>6</v>
      </c>
      <c r="Q21">
        <f t="shared" si="5"/>
        <v>6</v>
      </c>
      <c r="R21">
        <f t="shared" si="5"/>
        <v>6</v>
      </c>
      <c r="S21">
        <f>+SUM(D21:R21)</f>
        <v>40</v>
      </c>
    </row>
    <row r="22" spans="1:19" x14ac:dyDescent="0.45">
      <c r="A22" s="2">
        <v>46023</v>
      </c>
      <c r="B22" s="1" t="s">
        <v>32</v>
      </c>
      <c r="C22" t="s">
        <v>28</v>
      </c>
      <c r="D22">
        <v>2</v>
      </c>
      <c r="E22">
        <v>2</v>
      </c>
      <c r="F22">
        <v>2</v>
      </c>
      <c r="G22">
        <v>2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3</v>
      </c>
      <c r="P22">
        <v>3</v>
      </c>
      <c r="Q22">
        <v>3</v>
      </c>
      <c r="R22">
        <v>3</v>
      </c>
      <c r="S22">
        <f>+SUM(D22:R22)</f>
        <v>24</v>
      </c>
    </row>
    <row r="23" spans="1:19" x14ac:dyDescent="0.45">
      <c r="A23" s="2">
        <v>46023</v>
      </c>
      <c r="B23" s="1" t="s">
        <v>32</v>
      </c>
      <c r="C23" t="s">
        <v>29</v>
      </c>
      <c r="D23">
        <f t="shared" ref="D23:S23" si="6">+D21-D22</f>
        <v>-1</v>
      </c>
      <c r="E23">
        <f t="shared" si="6"/>
        <v>-1</v>
      </c>
      <c r="F23">
        <f t="shared" si="6"/>
        <v>-1</v>
      </c>
      <c r="G23">
        <f t="shared" si="6"/>
        <v>-1</v>
      </c>
      <c r="H23">
        <f t="shared" si="6"/>
        <v>2</v>
      </c>
      <c r="I23">
        <f t="shared" si="6"/>
        <v>2</v>
      </c>
      <c r="J23">
        <f t="shared" si="6"/>
        <v>2</v>
      </c>
      <c r="K23">
        <f t="shared" si="6"/>
        <v>1</v>
      </c>
      <c r="L23">
        <f t="shared" si="6"/>
        <v>1</v>
      </c>
      <c r="M23">
        <f t="shared" si="6"/>
        <v>-1</v>
      </c>
      <c r="N23">
        <f t="shared" si="6"/>
        <v>1</v>
      </c>
      <c r="O23">
        <f t="shared" si="6"/>
        <v>3</v>
      </c>
      <c r="P23">
        <f t="shared" si="6"/>
        <v>3</v>
      </c>
      <c r="Q23">
        <f t="shared" si="6"/>
        <v>3</v>
      </c>
      <c r="R23">
        <f t="shared" si="6"/>
        <v>3</v>
      </c>
      <c r="S23">
        <f t="shared" si="6"/>
        <v>16</v>
      </c>
    </row>
    <row r="24" spans="1:19" x14ac:dyDescent="0.45">
      <c r="A24" s="2">
        <v>46023</v>
      </c>
      <c r="B24" s="1" t="s">
        <v>32</v>
      </c>
      <c r="C24" t="s">
        <v>30</v>
      </c>
      <c r="D24">
        <v>1</v>
      </c>
      <c r="E24">
        <v>1</v>
      </c>
      <c r="F24">
        <v>1</v>
      </c>
      <c r="G24">
        <v>1</v>
      </c>
      <c r="H24">
        <v>-3</v>
      </c>
      <c r="I24">
        <v>-3</v>
      </c>
      <c r="J24">
        <v>-3</v>
      </c>
      <c r="K24">
        <v>-2</v>
      </c>
      <c r="L24">
        <v>-2</v>
      </c>
      <c r="M24">
        <v>3</v>
      </c>
      <c r="N24">
        <v>-2</v>
      </c>
      <c r="O24">
        <v>-4</v>
      </c>
      <c r="P24">
        <v>-4</v>
      </c>
      <c r="Q24">
        <v>-4</v>
      </c>
      <c r="R24">
        <v>-4</v>
      </c>
      <c r="S24">
        <f>+S25-S23</f>
        <v>-24</v>
      </c>
    </row>
    <row r="25" spans="1:19" x14ac:dyDescent="0.45">
      <c r="A25" s="2">
        <v>46023</v>
      </c>
      <c r="B25" s="1" t="s">
        <v>32</v>
      </c>
      <c r="C25" t="s">
        <v>31</v>
      </c>
      <c r="D25">
        <f t="shared" ref="D25:R25" si="7">+D23+D24</f>
        <v>0</v>
      </c>
      <c r="E25">
        <f t="shared" si="7"/>
        <v>0</v>
      </c>
      <c r="F25">
        <f t="shared" si="7"/>
        <v>0</v>
      </c>
      <c r="G25">
        <f t="shared" si="7"/>
        <v>0</v>
      </c>
      <c r="H25">
        <f t="shared" si="7"/>
        <v>-1</v>
      </c>
      <c r="I25">
        <f t="shared" si="7"/>
        <v>-1</v>
      </c>
      <c r="J25">
        <f t="shared" si="7"/>
        <v>-1</v>
      </c>
      <c r="K25">
        <f t="shared" si="7"/>
        <v>-1</v>
      </c>
      <c r="L25">
        <f t="shared" si="7"/>
        <v>-1</v>
      </c>
      <c r="M25">
        <f t="shared" si="7"/>
        <v>2</v>
      </c>
      <c r="N25">
        <f t="shared" si="7"/>
        <v>-1</v>
      </c>
      <c r="O25">
        <f t="shared" si="7"/>
        <v>-1</v>
      </c>
      <c r="P25">
        <f t="shared" si="7"/>
        <v>-1</v>
      </c>
      <c r="Q25">
        <f t="shared" si="7"/>
        <v>-1</v>
      </c>
      <c r="R25">
        <f t="shared" si="7"/>
        <v>-1</v>
      </c>
      <c r="S25">
        <f>+SUM(D25:R25)</f>
        <v>-8</v>
      </c>
    </row>
    <row r="26" spans="1:19" x14ac:dyDescent="0.45">
      <c r="A26" s="2">
        <v>46054</v>
      </c>
      <c r="B26" s="1" t="s">
        <v>20</v>
      </c>
      <c r="C26" t="s">
        <v>21</v>
      </c>
      <c r="D26">
        <v>8</v>
      </c>
      <c r="E26">
        <v>8</v>
      </c>
      <c r="F26">
        <v>8</v>
      </c>
      <c r="G26" s="3">
        <v>4</v>
      </c>
      <c r="H26">
        <v>8</v>
      </c>
      <c r="I26">
        <v>8</v>
      </c>
      <c r="J26">
        <v>8</v>
      </c>
      <c r="K26">
        <v>8</v>
      </c>
      <c r="L26">
        <v>8</v>
      </c>
      <c r="M26">
        <v>8</v>
      </c>
      <c r="N26">
        <v>8</v>
      </c>
      <c r="O26">
        <v>8</v>
      </c>
      <c r="P26">
        <v>8</v>
      </c>
      <c r="Q26">
        <v>8</v>
      </c>
      <c r="R26">
        <v>8</v>
      </c>
      <c r="S26">
        <f>+SUM(D26:F26,H26:R26)</f>
        <v>112</v>
      </c>
    </row>
    <row r="27" spans="1:19" x14ac:dyDescent="0.45">
      <c r="A27" s="2">
        <v>46054</v>
      </c>
      <c r="B27" s="1" t="s">
        <v>20</v>
      </c>
      <c r="C27" t="s">
        <v>22</v>
      </c>
      <c r="D27">
        <v>8</v>
      </c>
      <c r="E27">
        <v>8</v>
      </c>
      <c r="F27">
        <v>8</v>
      </c>
      <c r="G27" s="3">
        <v>4</v>
      </c>
      <c r="H27">
        <v>8</v>
      </c>
      <c r="I27">
        <v>8</v>
      </c>
      <c r="J27">
        <v>8</v>
      </c>
      <c r="K27">
        <v>8</v>
      </c>
      <c r="L27">
        <v>8</v>
      </c>
      <c r="M27">
        <v>8</v>
      </c>
      <c r="N27">
        <v>8</v>
      </c>
      <c r="O27">
        <v>8</v>
      </c>
      <c r="P27">
        <v>8</v>
      </c>
      <c r="Q27">
        <v>8</v>
      </c>
      <c r="R27">
        <v>8</v>
      </c>
      <c r="S27">
        <f>+SUM(D27:F27,H27:R27)</f>
        <v>112</v>
      </c>
    </row>
    <row r="28" spans="1:19" x14ac:dyDescent="0.45">
      <c r="A28" s="2">
        <v>46054</v>
      </c>
      <c r="B28" s="1" t="s">
        <v>20</v>
      </c>
      <c r="C28" t="s">
        <v>23</v>
      </c>
      <c r="D28">
        <f t="shared" ref="D28:R28" si="8">+SUM(D29:D31)</f>
        <v>5</v>
      </c>
      <c r="E28">
        <f t="shared" si="8"/>
        <v>5</v>
      </c>
      <c r="F28">
        <f t="shared" si="8"/>
        <v>5</v>
      </c>
      <c r="G28" s="3">
        <f t="shared" si="8"/>
        <v>3</v>
      </c>
      <c r="H28">
        <f t="shared" si="8"/>
        <v>5</v>
      </c>
      <c r="I28">
        <f t="shared" si="8"/>
        <v>5</v>
      </c>
      <c r="J28">
        <f t="shared" si="8"/>
        <v>5</v>
      </c>
      <c r="K28">
        <f t="shared" si="8"/>
        <v>5</v>
      </c>
      <c r="L28">
        <f t="shared" si="8"/>
        <v>5</v>
      </c>
      <c r="M28">
        <f t="shared" si="8"/>
        <v>5</v>
      </c>
      <c r="N28">
        <f t="shared" si="8"/>
        <v>5</v>
      </c>
      <c r="O28">
        <f t="shared" si="8"/>
        <v>5</v>
      </c>
      <c r="P28">
        <f t="shared" si="8"/>
        <v>5</v>
      </c>
      <c r="Q28">
        <f t="shared" si="8"/>
        <v>5</v>
      </c>
      <c r="R28">
        <f t="shared" si="8"/>
        <v>5</v>
      </c>
      <c r="S28">
        <f>+S27-S32</f>
        <v>69</v>
      </c>
    </row>
    <row r="29" spans="1:19" x14ac:dyDescent="0.45">
      <c r="A29" s="2">
        <v>46054</v>
      </c>
      <c r="B29" s="1" t="s">
        <v>20</v>
      </c>
      <c r="C29" t="s">
        <v>24</v>
      </c>
      <c r="D29">
        <v>3</v>
      </c>
      <c r="E29">
        <v>3</v>
      </c>
      <c r="F29">
        <v>3</v>
      </c>
      <c r="G29" s="3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f>+S28-S30-S31</f>
        <v>41</v>
      </c>
    </row>
    <row r="30" spans="1:19" x14ac:dyDescent="0.45">
      <c r="A30" s="2">
        <v>46054</v>
      </c>
      <c r="B30" s="1" t="s">
        <v>20</v>
      </c>
      <c r="C30" t="s">
        <v>25</v>
      </c>
      <c r="D30">
        <v>1</v>
      </c>
      <c r="E30">
        <v>1</v>
      </c>
      <c r="F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f>+SUM(D30:F30,H30:R30)</f>
        <v>14</v>
      </c>
    </row>
    <row r="31" spans="1:19" x14ac:dyDescent="0.45">
      <c r="A31" s="2">
        <v>46054</v>
      </c>
      <c r="B31" s="1" t="s">
        <v>20</v>
      </c>
      <c r="C31" t="s">
        <v>26</v>
      </c>
      <c r="D31">
        <v>1</v>
      </c>
      <c r="E31">
        <v>1</v>
      </c>
      <c r="F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f>+SUM(D31:F31,H31:R31)</f>
        <v>14</v>
      </c>
    </row>
    <row r="32" spans="1:19" x14ac:dyDescent="0.45">
      <c r="A32" s="2">
        <v>46054</v>
      </c>
      <c r="B32" s="1" t="s">
        <v>20</v>
      </c>
      <c r="C32" t="s">
        <v>27</v>
      </c>
      <c r="D32">
        <f t="shared" ref="D32:R32" si="9">+D27-D28</f>
        <v>3</v>
      </c>
      <c r="E32">
        <f t="shared" si="9"/>
        <v>3</v>
      </c>
      <c r="F32">
        <f t="shared" si="9"/>
        <v>3</v>
      </c>
      <c r="G32">
        <f t="shared" si="9"/>
        <v>1</v>
      </c>
      <c r="H32">
        <f t="shared" si="9"/>
        <v>3</v>
      </c>
      <c r="I32">
        <f t="shared" si="9"/>
        <v>3</v>
      </c>
      <c r="J32">
        <f t="shared" si="9"/>
        <v>3</v>
      </c>
      <c r="K32">
        <f t="shared" si="9"/>
        <v>3</v>
      </c>
      <c r="L32">
        <f t="shared" si="9"/>
        <v>3</v>
      </c>
      <c r="M32">
        <f t="shared" si="9"/>
        <v>3</v>
      </c>
      <c r="N32">
        <f t="shared" si="9"/>
        <v>3</v>
      </c>
      <c r="O32">
        <f t="shared" si="9"/>
        <v>3</v>
      </c>
      <c r="P32">
        <f t="shared" si="9"/>
        <v>3</v>
      </c>
      <c r="Q32">
        <f t="shared" si="9"/>
        <v>3</v>
      </c>
      <c r="R32">
        <f t="shared" si="9"/>
        <v>3</v>
      </c>
      <c r="S32">
        <f>+SUM(D32:R32)</f>
        <v>43</v>
      </c>
    </row>
    <row r="33" spans="1:19" x14ac:dyDescent="0.45">
      <c r="A33" s="2">
        <v>46054</v>
      </c>
      <c r="B33" s="1" t="s">
        <v>20</v>
      </c>
      <c r="C33" t="s">
        <v>28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f>+SUM(D33:R33)</f>
        <v>15</v>
      </c>
    </row>
    <row r="34" spans="1:19" x14ac:dyDescent="0.45">
      <c r="A34" s="2">
        <v>46054</v>
      </c>
      <c r="B34" s="1" t="s">
        <v>20</v>
      </c>
      <c r="C34" t="s">
        <v>29</v>
      </c>
      <c r="D34">
        <f t="shared" ref="D34:S34" si="10">+D32-D33</f>
        <v>2</v>
      </c>
      <c r="E34">
        <f t="shared" si="10"/>
        <v>2</v>
      </c>
      <c r="F34">
        <f t="shared" si="10"/>
        <v>2</v>
      </c>
      <c r="G34">
        <f t="shared" si="10"/>
        <v>0</v>
      </c>
      <c r="H34">
        <f t="shared" si="10"/>
        <v>2</v>
      </c>
      <c r="I34">
        <f t="shared" si="10"/>
        <v>2</v>
      </c>
      <c r="J34">
        <f t="shared" si="10"/>
        <v>2</v>
      </c>
      <c r="K34">
        <f t="shared" si="10"/>
        <v>2</v>
      </c>
      <c r="L34">
        <f t="shared" si="10"/>
        <v>2</v>
      </c>
      <c r="M34">
        <f t="shared" si="10"/>
        <v>2</v>
      </c>
      <c r="N34">
        <f t="shared" si="10"/>
        <v>2</v>
      </c>
      <c r="O34">
        <f t="shared" si="10"/>
        <v>2</v>
      </c>
      <c r="P34">
        <f t="shared" si="10"/>
        <v>2</v>
      </c>
      <c r="Q34">
        <f t="shared" si="10"/>
        <v>2</v>
      </c>
      <c r="R34">
        <f t="shared" si="10"/>
        <v>2</v>
      </c>
      <c r="S34">
        <f t="shared" si="10"/>
        <v>28</v>
      </c>
    </row>
    <row r="35" spans="1:19" x14ac:dyDescent="0.45">
      <c r="A35" s="2">
        <v>46054</v>
      </c>
      <c r="B35" s="1" t="s">
        <v>20</v>
      </c>
      <c r="C35" t="s">
        <v>30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f>+S36-S34</f>
        <v>-15</v>
      </c>
    </row>
    <row r="36" spans="1:19" x14ac:dyDescent="0.45">
      <c r="A36" s="2">
        <v>46054</v>
      </c>
      <c r="B36" s="1" t="s">
        <v>20</v>
      </c>
      <c r="C36" t="s">
        <v>31</v>
      </c>
      <c r="D36">
        <f t="shared" ref="D36:R36" si="11">+D34+D35</f>
        <v>1</v>
      </c>
      <c r="E36">
        <f t="shared" si="11"/>
        <v>1</v>
      </c>
      <c r="F36">
        <f t="shared" si="11"/>
        <v>1</v>
      </c>
      <c r="G36">
        <f t="shared" si="11"/>
        <v>-1</v>
      </c>
      <c r="H36">
        <f t="shared" si="11"/>
        <v>1</v>
      </c>
      <c r="I36">
        <f t="shared" si="11"/>
        <v>1</v>
      </c>
      <c r="J36">
        <f t="shared" si="11"/>
        <v>1</v>
      </c>
      <c r="K36">
        <f t="shared" si="11"/>
        <v>1</v>
      </c>
      <c r="L36">
        <f t="shared" si="11"/>
        <v>1</v>
      </c>
      <c r="M36">
        <f t="shared" si="11"/>
        <v>1</v>
      </c>
      <c r="N36">
        <f t="shared" si="11"/>
        <v>1</v>
      </c>
      <c r="O36">
        <f t="shared" si="11"/>
        <v>1</v>
      </c>
      <c r="P36">
        <f t="shared" si="11"/>
        <v>1</v>
      </c>
      <c r="Q36">
        <f t="shared" si="11"/>
        <v>1</v>
      </c>
      <c r="R36">
        <f t="shared" si="11"/>
        <v>1</v>
      </c>
      <c r="S36">
        <f>+SUM(D36:R36)</f>
        <v>13</v>
      </c>
    </row>
    <row r="37" spans="1:19" x14ac:dyDescent="0.45">
      <c r="A37" s="2">
        <v>46054</v>
      </c>
      <c r="B37" s="1" t="s">
        <v>32</v>
      </c>
      <c r="C37" t="s">
        <v>21</v>
      </c>
      <c r="D37">
        <v>10</v>
      </c>
      <c r="E37">
        <v>10</v>
      </c>
      <c r="F37">
        <v>10</v>
      </c>
      <c r="G37" s="3">
        <v>4</v>
      </c>
      <c r="H37">
        <v>6</v>
      </c>
      <c r="I37">
        <v>6</v>
      </c>
      <c r="J37">
        <v>6</v>
      </c>
      <c r="K37">
        <v>9</v>
      </c>
      <c r="L37">
        <v>9</v>
      </c>
      <c r="N37">
        <v>9</v>
      </c>
      <c r="O37">
        <v>12</v>
      </c>
      <c r="P37">
        <v>12</v>
      </c>
      <c r="Q37">
        <v>12</v>
      </c>
      <c r="R37">
        <v>12</v>
      </c>
      <c r="S37">
        <f>+SUM(D37:F37,H37:R37)</f>
        <v>123</v>
      </c>
    </row>
    <row r="38" spans="1:19" x14ac:dyDescent="0.45">
      <c r="A38" s="2">
        <v>46054</v>
      </c>
      <c r="B38" s="1" t="s">
        <v>32</v>
      </c>
      <c r="C38" t="s">
        <v>22</v>
      </c>
      <c r="D38">
        <v>9</v>
      </c>
      <c r="E38">
        <v>9</v>
      </c>
      <c r="F38">
        <v>9</v>
      </c>
      <c r="G38" s="3">
        <v>4</v>
      </c>
      <c r="H38">
        <v>10</v>
      </c>
      <c r="I38">
        <v>10</v>
      </c>
      <c r="J38">
        <v>10</v>
      </c>
      <c r="K38">
        <v>8</v>
      </c>
      <c r="L38">
        <v>8</v>
      </c>
      <c r="N38">
        <v>8</v>
      </c>
      <c r="O38">
        <v>20</v>
      </c>
      <c r="P38">
        <v>20</v>
      </c>
      <c r="Q38">
        <v>20</v>
      </c>
      <c r="R38">
        <v>20</v>
      </c>
      <c r="S38">
        <f>+SUM(D38:F38,H38:R38)</f>
        <v>161</v>
      </c>
    </row>
    <row r="39" spans="1:19" x14ac:dyDescent="0.45">
      <c r="A39" s="2">
        <v>46054</v>
      </c>
      <c r="B39" s="1" t="s">
        <v>32</v>
      </c>
      <c r="C39" t="s">
        <v>23</v>
      </c>
      <c r="D39">
        <f t="shared" ref="D39:R39" si="12">+SUM(D40:D42)</f>
        <v>3</v>
      </c>
      <c r="E39">
        <f t="shared" si="12"/>
        <v>3</v>
      </c>
      <c r="F39">
        <f t="shared" si="12"/>
        <v>3</v>
      </c>
      <c r="G39" s="3">
        <f t="shared" si="12"/>
        <v>3</v>
      </c>
      <c r="H39">
        <f t="shared" si="12"/>
        <v>7</v>
      </c>
      <c r="I39">
        <f t="shared" si="12"/>
        <v>7</v>
      </c>
      <c r="J39">
        <f t="shared" si="12"/>
        <v>7</v>
      </c>
      <c r="K39">
        <f t="shared" si="12"/>
        <v>6</v>
      </c>
      <c r="L39">
        <f t="shared" si="12"/>
        <v>6</v>
      </c>
      <c r="M39">
        <f t="shared" si="12"/>
        <v>0</v>
      </c>
      <c r="N39">
        <f t="shared" si="12"/>
        <v>6</v>
      </c>
      <c r="O39">
        <f t="shared" si="12"/>
        <v>14</v>
      </c>
      <c r="P39">
        <f t="shared" si="12"/>
        <v>14</v>
      </c>
      <c r="Q39">
        <f t="shared" si="12"/>
        <v>14</v>
      </c>
      <c r="R39">
        <f t="shared" si="12"/>
        <v>14</v>
      </c>
      <c r="S39">
        <f>+S38-S43</f>
        <v>103</v>
      </c>
    </row>
    <row r="40" spans="1:19" x14ac:dyDescent="0.45">
      <c r="A40" s="2">
        <v>46054</v>
      </c>
      <c r="B40" s="1" t="s">
        <v>32</v>
      </c>
      <c r="C40" t="s">
        <v>24</v>
      </c>
      <c r="D40">
        <v>1</v>
      </c>
      <c r="E40">
        <v>1</v>
      </c>
      <c r="F40">
        <v>1</v>
      </c>
      <c r="G40" s="3">
        <v>3</v>
      </c>
      <c r="H40">
        <v>5</v>
      </c>
      <c r="I40">
        <v>5</v>
      </c>
      <c r="J40">
        <v>5</v>
      </c>
      <c r="K40">
        <v>4</v>
      </c>
      <c r="L40">
        <v>4</v>
      </c>
      <c r="N40">
        <v>4</v>
      </c>
      <c r="O40">
        <v>12</v>
      </c>
      <c r="P40">
        <v>12</v>
      </c>
      <c r="Q40">
        <v>12</v>
      </c>
      <c r="R40">
        <v>12</v>
      </c>
      <c r="S40">
        <f>+S39-S41-S42</f>
        <v>77</v>
      </c>
    </row>
    <row r="41" spans="1:19" x14ac:dyDescent="0.45">
      <c r="A41" s="2">
        <v>46054</v>
      </c>
      <c r="B41" s="1" t="s">
        <v>32</v>
      </c>
      <c r="C41" t="s">
        <v>25</v>
      </c>
      <c r="D41">
        <v>1</v>
      </c>
      <c r="E41">
        <v>1</v>
      </c>
      <c r="F41">
        <v>1</v>
      </c>
      <c r="H41">
        <v>1</v>
      </c>
      <c r="I41">
        <v>1</v>
      </c>
      <c r="J41">
        <v>1</v>
      </c>
      <c r="K41">
        <v>1</v>
      </c>
      <c r="L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f>+SUM(D41:F41,H41:R41)</f>
        <v>13</v>
      </c>
    </row>
    <row r="42" spans="1:19" x14ac:dyDescent="0.45">
      <c r="A42" s="2">
        <v>46054</v>
      </c>
      <c r="B42" s="1" t="s">
        <v>32</v>
      </c>
      <c r="C42" t="s">
        <v>26</v>
      </c>
      <c r="D42">
        <v>1</v>
      </c>
      <c r="E42">
        <v>1</v>
      </c>
      <c r="F42">
        <v>1</v>
      </c>
      <c r="H42">
        <v>1</v>
      </c>
      <c r="I42">
        <v>1</v>
      </c>
      <c r="J42">
        <v>1</v>
      </c>
      <c r="K42">
        <v>1</v>
      </c>
      <c r="L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f>+SUM(D42:F42,H42:R42)</f>
        <v>13</v>
      </c>
    </row>
    <row r="43" spans="1:19" x14ac:dyDescent="0.45">
      <c r="A43" s="2">
        <v>46054</v>
      </c>
      <c r="B43" s="1" t="s">
        <v>32</v>
      </c>
      <c r="C43" t="s">
        <v>27</v>
      </c>
      <c r="D43">
        <f t="shared" ref="D43:R43" si="13">+D38-D39</f>
        <v>6</v>
      </c>
      <c r="E43">
        <f t="shared" si="13"/>
        <v>6</v>
      </c>
      <c r="F43">
        <f t="shared" si="13"/>
        <v>6</v>
      </c>
      <c r="G43">
        <f t="shared" si="13"/>
        <v>1</v>
      </c>
      <c r="H43">
        <f t="shared" si="13"/>
        <v>3</v>
      </c>
      <c r="I43">
        <f t="shared" si="13"/>
        <v>3</v>
      </c>
      <c r="J43">
        <f t="shared" si="13"/>
        <v>3</v>
      </c>
      <c r="K43">
        <f t="shared" si="13"/>
        <v>2</v>
      </c>
      <c r="L43">
        <f t="shared" si="13"/>
        <v>2</v>
      </c>
      <c r="M43">
        <f t="shared" si="13"/>
        <v>0</v>
      </c>
      <c r="N43">
        <f t="shared" si="13"/>
        <v>2</v>
      </c>
      <c r="O43">
        <f t="shared" si="13"/>
        <v>6</v>
      </c>
      <c r="P43">
        <f t="shared" si="13"/>
        <v>6</v>
      </c>
      <c r="Q43">
        <f t="shared" si="13"/>
        <v>6</v>
      </c>
      <c r="R43">
        <f t="shared" si="13"/>
        <v>6</v>
      </c>
      <c r="S43">
        <f>+SUM(D43:R43)</f>
        <v>58</v>
      </c>
    </row>
    <row r="44" spans="1:19" x14ac:dyDescent="0.45">
      <c r="A44" s="2">
        <v>46054</v>
      </c>
      <c r="B44" s="1" t="s">
        <v>32</v>
      </c>
      <c r="C44" t="s">
        <v>28</v>
      </c>
      <c r="D44">
        <v>4</v>
      </c>
      <c r="E44">
        <v>4</v>
      </c>
      <c r="F44">
        <v>4</v>
      </c>
      <c r="G44">
        <v>2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2</v>
      </c>
      <c r="P44">
        <v>2</v>
      </c>
      <c r="Q44">
        <v>2</v>
      </c>
      <c r="R44">
        <v>2</v>
      </c>
      <c r="S44">
        <f>+SUM(D44:R44)</f>
        <v>29</v>
      </c>
    </row>
    <row r="45" spans="1:19" x14ac:dyDescent="0.45">
      <c r="A45" s="2">
        <v>46054</v>
      </c>
      <c r="B45" s="1" t="s">
        <v>32</v>
      </c>
      <c r="C45" t="s">
        <v>29</v>
      </c>
      <c r="D45">
        <f t="shared" ref="D45:S45" si="14">+D43-D44</f>
        <v>2</v>
      </c>
      <c r="E45">
        <f t="shared" si="14"/>
        <v>2</v>
      </c>
      <c r="F45">
        <f t="shared" si="14"/>
        <v>2</v>
      </c>
      <c r="G45">
        <f t="shared" si="14"/>
        <v>-1</v>
      </c>
      <c r="H45">
        <f t="shared" si="14"/>
        <v>2</v>
      </c>
      <c r="I45">
        <f t="shared" si="14"/>
        <v>2</v>
      </c>
      <c r="J45">
        <f t="shared" si="14"/>
        <v>2</v>
      </c>
      <c r="K45">
        <f t="shared" si="14"/>
        <v>1</v>
      </c>
      <c r="L45">
        <f t="shared" si="14"/>
        <v>1</v>
      </c>
      <c r="M45">
        <f t="shared" si="14"/>
        <v>-1</v>
      </c>
      <c r="N45">
        <f t="shared" si="14"/>
        <v>1</v>
      </c>
      <c r="O45">
        <f t="shared" si="14"/>
        <v>4</v>
      </c>
      <c r="P45">
        <f t="shared" si="14"/>
        <v>4</v>
      </c>
      <c r="Q45">
        <f t="shared" si="14"/>
        <v>4</v>
      </c>
      <c r="R45">
        <f t="shared" si="14"/>
        <v>4</v>
      </c>
      <c r="S45">
        <f t="shared" si="14"/>
        <v>29</v>
      </c>
    </row>
    <row r="46" spans="1:19" x14ac:dyDescent="0.45">
      <c r="A46" s="2">
        <v>46054</v>
      </c>
      <c r="B46" s="1" t="s">
        <v>32</v>
      </c>
      <c r="C46" t="s">
        <v>30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-2</v>
      </c>
      <c r="L46">
        <v>-2</v>
      </c>
      <c r="M46">
        <v>0</v>
      </c>
      <c r="N46">
        <v>-2</v>
      </c>
      <c r="O46">
        <v>-1</v>
      </c>
      <c r="P46">
        <v>-1</v>
      </c>
      <c r="Q46">
        <v>-1</v>
      </c>
      <c r="R46">
        <v>-1</v>
      </c>
      <c r="S46">
        <f>+S47-S45</f>
        <v>-9</v>
      </c>
    </row>
    <row r="47" spans="1:19" x14ac:dyDescent="0.45">
      <c r="A47" s="2">
        <v>46054</v>
      </c>
      <c r="B47" s="1" t="s">
        <v>32</v>
      </c>
      <c r="C47" t="s">
        <v>31</v>
      </c>
      <c r="D47">
        <f t="shared" ref="D47:R47" si="15">+D45+D46</f>
        <v>2</v>
      </c>
      <c r="E47">
        <f t="shared" si="15"/>
        <v>2</v>
      </c>
      <c r="F47">
        <f t="shared" si="15"/>
        <v>2</v>
      </c>
      <c r="G47">
        <f t="shared" si="15"/>
        <v>0</v>
      </c>
      <c r="H47">
        <f t="shared" si="15"/>
        <v>2</v>
      </c>
      <c r="I47">
        <f t="shared" si="15"/>
        <v>2</v>
      </c>
      <c r="J47">
        <f t="shared" si="15"/>
        <v>2</v>
      </c>
      <c r="K47">
        <f t="shared" si="15"/>
        <v>-1</v>
      </c>
      <c r="L47">
        <f t="shared" si="15"/>
        <v>-1</v>
      </c>
      <c r="M47">
        <f t="shared" si="15"/>
        <v>-1</v>
      </c>
      <c r="N47">
        <f t="shared" si="15"/>
        <v>-1</v>
      </c>
      <c r="O47">
        <f t="shared" si="15"/>
        <v>3</v>
      </c>
      <c r="P47">
        <f t="shared" si="15"/>
        <v>3</v>
      </c>
      <c r="Q47">
        <f t="shared" si="15"/>
        <v>3</v>
      </c>
      <c r="R47">
        <f t="shared" si="15"/>
        <v>3</v>
      </c>
      <c r="S47">
        <f>+SUM(D47:R47)</f>
        <v>20</v>
      </c>
    </row>
  </sheetData>
  <phoneticPr fontId="1" type="noConversion"/>
  <pageMargins left="0.7" right="0.7" top="0.75" bottom="0.75" header="0.3" footer="0.3"/>
  <pageSetup paperSize="9" orientation="portrait" verticalDpi="0"/>
  <headerFooter>
    <oddFooter>&amp;L&amp;"Aptos"&amp;10 &amp;K000000_x000D_# 본 문서는 현대제철의 정보자산으로 관련 법령에 의해 보호 받습니다.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7" x14ac:dyDescent="0.45"/>
  <sheetData>
    <row r="1" spans="1:1" x14ac:dyDescent="0.45">
      <c r="A1" s="5" t="s">
        <v>33</v>
      </c>
    </row>
    <row r="2" spans="1:1" x14ac:dyDescent="0.45">
      <c r="A2" t="s">
        <v>34</v>
      </c>
    </row>
    <row r="3" spans="1:1" x14ac:dyDescent="0.45">
      <c r="A3" t="s">
        <v>35</v>
      </c>
    </row>
    <row r="4" spans="1:1" x14ac:dyDescent="0.45">
      <c r="A4" t="s">
        <v>36</v>
      </c>
    </row>
    <row r="5" spans="1:1" x14ac:dyDescent="0.45">
      <c r="A5" t="s">
        <v>37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style="4" customWidth="1"/>
    <col min="2" max="8" width="14" style="4" customWidth="1"/>
    <col min="10" max="10" width="26" style="4" customWidth="1"/>
    <col min="11" max="11" width="12" style="4" customWidth="1"/>
  </cols>
  <sheetData>
    <row r="1" spans="1:11" ht="21" customHeight="1" x14ac:dyDescent="0.55000000000000004">
      <c r="A1" s="8" t="s">
        <v>38</v>
      </c>
      <c r="J1" s="6" t="s">
        <v>39</v>
      </c>
    </row>
    <row r="2" spans="1:11" x14ac:dyDescent="0.45">
      <c r="A2" s="9" t="s">
        <v>40</v>
      </c>
      <c r="B2" s="10" t="s">
        <v>79</v>
      </c>
      <c r="J2" s="7" t="s">
        <v>41</v>
      </c>
      <c r="K2" s="7">
        <f>VALUE(LEFT($B$2,4))</f>
        <v>2026</v>
      </c>
    </row>
    <row r="3" spans="1:11" x14ac:dyDescent="0.45">
      <c r="J3" s="7" t="s">
        <v>42</v>
      </c>
      <c r="K3" s="7">
        <f>VALUE(MID($B$2,6,2))</f>
        <v>2</v>
      </c>
    </row>
    <row r="4" spans="1:11" ht="32" customHeight="1" x14ac:dyDescent="0.4">
      <c r="A4" s="11" t="s">
        <v>43</v>
      </c>
      <c r="B4" s="11" t="s">
        <v>44</v>
      </c>
      <c r="C4" s="11" t="s">
        <v>45</v>
      </c>
      <c r="D4" s="11" t="s">
        <v>46</v>
      </c>
      <c r="E4" s="11" t="s">
        <v>47</v>
      </c>
      <c r="F4" s="11" t="s">
        <v>48</v>
      </c>
      <c r="G4" s="11" t="s">
        <v>49</v>
      </c>
      <c r="H4" s="11" t="s">
        <v>50</v>
      </c>
      <c r="J4" s="7" t="s">
        <v>51</v>
      </c>
      <c r="K4" s="7" t="str">
        <f>MID($B$2,9,2)</f>
        <v>누계</v>
      </c>
    </row>
    <row r="5" spans="1:11" x14ac:dyDescent="0.45">
      <c r="A5" s="12" t="s">
        <v>4</v>
      </c>
      <c r="B5" s="13">
        <f>SUMIFS(Sheet1!D$4:D$1000,Sheet1!$A$4:$A$1000,"&gt;="&amp;Report_P1!$K$5,Sheet1!$A$4:$A$1000,"&lt;="&amp;Report_P1!$K$6,Sheet1!$B$4:$B$1000,"계획",Sheet1!$C$4:$C$1000,"판매량")</f>
        <v>16</v>
      </c>
      <c r="C5" s="13">
        <f>SUMIFS(Sheet1!D$4:D$1000,Sheet1!$A$4:$A$1000,"&gt;="&amp;Report_P1!$K$5,Sheet1!$A$4:$A$1000,"&lt;="&amp;Report_P1!$K$6,Sheet1!$B$4:$B$1000,"계획",Sheet1!$C$4:$C$1000,"매출액")</f>
        <v>16</v>
      </c>
      <c r="D5" s="13">
        <f>SUMIFS(Sheet1!D$4:D$1000,Sheet1!$A$4:$A$1000,"&gt;="&amp;Report_P1!$K$5,Sheet1!$A$4:$A$1000,"&lt;="&amp;Report_P1!$K$6,Sheet1!$B$4:$B$1000,"계획",Sheet1!$C$4:$C$1000,"경상이익")</f>
        <v>2</v>
      </c>
      <c r="E5" s="13">
        <f>SUMIFS(Sheet1!D$4:D$1000,Sheet1!$A$4:$A$1000,"&gt;="&amp;Report_P1!$K$5,Sheet1!$A$4:$A$1000,"&lt;="&amp;Report_P1!$K$6,Sheet1!$B$4:$B$1000,"실적",Sheet1!$C$4:$C$1000,"판매량")</f>
        <v>17</v>
      </c>
      <c r="F5" s="13">
        <f>SUMIFS(Sheet1!D$4:D$1000,Sheet1!$A$4:$A$1000,"&gt;="&amp;Report_P1!$K$5,Sheet1!$A$4:$A$1000,"&lt;="&amp;Report_P1!$K$6,Sheet1!$B$4:$B$1000,"실적",Sheet1!$C$4:$C$1000,"매출액")</f>
        <v>14</v>
      </c>
      <c r="G5" s="13">
        <f>SUMIFS(Sheet1!D$4:D$1000,Sheet1!$A$4:$A$1000,"&gt;="&amp;Report_P1!$K$5,Sheet1!$A$4:$A$1000,"&lt;="&amp;Report_P1!$K$6,Sheet1!$B$4:$B$1000,"실적",Sheet1!$C$4:$C$1000,"경상이익")</f>
        <v>2</v>
      </c>
      <c r="H5" s="13">
        <f t="shared" ref="H5:H19" si="0">G5-D5</f>
        <v>0</v>
      </c>
      <c r="J5" s="7" t="s">
        <v>52</v>
      </c>
      <c r="K5" s="7">
        <f>IF($K$4="누계",DATE($K$2,1,1),DATE($K$2,$K$3,1))</f>
        <v>46023</v>
      </c>
    </row>
    <row r="6" spans="1:11" x14ac:dyDescent="0.45">
      <c r="A6" s="12" t="s">
        <v>5</v>
      </c>
      <c r="B6" s="13">
        <f>SUMIFS(Sheet1!E$4:E$1000,Sheet1!$A$4:$A$1000,"&gt;="&amp;Report_P1!$K$5,Sheet1!$A$4:$A$1000,"&lt;="&amp;Report_P1!$K$6,Sheet1!$B$4:$B$1000,"계획",Sheet1!$C$4:$C$1000,"판매량")</f>
        <v>16</v>
      </c>
      <c r="C6" s="13">
        <f>SUMIFS(Sheet1!E$4:E$1000,Sheet1!$A$4:$A$1000,"&gt;="&amp;Report_P1!$K$5,Sheet1!$A$4:$A$1000,"&lt;="&amp;Report_P1!$K$6,Sheet1!$B$4:$B$1000,"계획",Sheet1!$C$4:$C$1000,"매출액")</f>
        <v>16</v>
      </c>
      <c r="D6" s="13">
        <f>SUMIFS(Sheet1!E$4:E$1000,Sheet1!$A$4:$A$1000,"&gt;="&amp;Report_P1!$K$5,Sheet1!$A$4:$A$1000,"&lt;="&amp;Report_P1!$K$6,Sheet1!$B$4:$B$1000,"계획",Sheet1!$C$4:$C$1000,"경상이익")</f>
        <v>2</v>
      </c>
      <c r="E6" s="13">
        <f>SUMIFS(Sheet1!E$4:E$1000,Sheet1!$A$4:$A$1000,"&gt;="&amp;Report_P1!$K$5,Sheet1!$A$4:$A$1000,"&lt;="&amp;Report_P1!$K$6,Sheet1!$B$4:$B$1000,"실적",Sheet1!$C$4:$C$1000,"판매량")</f>
        <v>17</v>
      </c>
      <c r="F6" s="13">
        <f>SUMIFS(Sheet1!E$4:E$1000,Sheet1!$A$4:$A$1000,"&gt;="&amp;Report_P1!$K$5,Sheet1!$A$4:$A$1000,"&lt;="&amp;Report_P1!$K$6,Sheet1!$B$4:$B$1000,"실적",Sheet1!$C$4:$C$1000,"매출액")</f>
        <v>14</v>
      </c>
      <c r="G6" s="13">
        <f>SUMIFS(Sheet1!E$4:E$1000,Sheet1!$A$4:$A$1000,"&gt;="&amp;Report_P1!$K$5,Sheet1!$A$4:$A$1000,"&lt;="&amp;Report_P1!$K$6,Sheet1!$B$4:$B$1000,"실적",Sheet1!$C$4:$C$1000,"경상이익")</f>
        <v>2</v>
      </c>
      <c r="H6" s="13">
        <f t="shared" si="0"/>
        <v>0</v>
      </c>
      <c r="J6" s="7" t="s">
        <v>53</v>
      </c>
      <c r="K6" s="7">
        <f>DATE($K$2,$K$3,1)</f>
        <v>46054</v>
      </c>
    </row>
    <row r="7" spans="1:11" x14ac:dyDescent="0.45">
      <c r="A7" s="12" t="s">
        <v>6</v>
      </c>
      <c r="B7" s="13">
        <f>SUMIFS(Sheet1!F$4:F$1000,Sheet1!$A$4:$A$1000,"&gt;="&amp;Report_P1!$K$5,Sheet1!$A$4:$A$1000,"&lt;="&amp;Report_P1!$K$6,Sheet1!$B$4:$B$1000,"계획",Sheet1!$C$4:$C$1000,"판매량")</f>
        <v>16</v>
      </c>
      <c r="C7" s="13">
        <f>SUMIFS(Sheet1!F$4:F$1000,Sheet1!$A$4:$A$1000,"&gt;="&amp;Report_P1!$K$5,Sheet1!$A$4:$A$1000,"&lt;="&amp;Report_P1!$K$6,Sheet1!$B$4:$B$1000,"계획",Sheet1!$C$4:$C$1000,"매출액")</f>
        <v>16</v>
      </c>
      <c r="D7" s="13">
        <f>SUMIFS(Sheet1!F$4:F$1000,Sheet1!$A$4:$A$1000,"&gt;="&amp;Report_P1!$K$5,Sheet1!$A$4:$A$1000,"&lt;="&amp;Report_P1!$K$6,Sheet1!$B$4:$B$1000,"계획",Sheet1!$C$4:$C$1000,"경상이익")</f>
        <v>2</v>
      </c>
      <c r="E7" s="13">
        <f>SUMIFS(Sheet1!F$4:F$1000,Sheet1!$A$4:$A$1000,"&gt;="&amp;Report_P1!$K$5,Sheet1!$A$4:$A$1000,"&lt;="&amp;Report_P1!$K$6,Sheet1!$B$4:$B$1000,"실적",Sheet1!$C$4:$C$1000,"판매량")</f>
        <v>17</v>
      </c>
      <c r="F7" s="13">
        <f>SUMIFS(Sheet1!F$4:F$1000,Sheet1!$A$4:$A$1000,"&gt;="&amp;Report_P1!$K$5,Sheet1!$A$4:$A$1000,"&lt;="&amp;Report_P1!$K$6,Sheet1!$B$4:$B$1000,"실적",Sheet1!$C$4:$C$1000,"매출액")</f>
        <v>14</v>
      </c>
      <c r="G7" s="13">
        <f>SUMIFS(Sheet1!F$4:F$1000,Sheet1!$A$4:$A$1000,"&gt;="&amp;Report_P1!$K$5,Sheet1!$A$4:$A$1000,"&lt;="&amp;Report_P1!$K$6,Sheet1!$B$4:$B$1000,"실적",Sheet1!$C$4:$C$1000,"경상이익")</f>
        <v>2</v>
      </c>
      <c r="H7" s="13">
        <f t="shared" si="0"/>
        <v>0</v>
      </c>
    </row>
    <row r="8" spans="1:11" x14ac:dyDescent="0.45">
      <c r="A8" s="12" t="s">
        <v>7</v>
      </c>
      <c r="B8" s="13">
        <f>SUMIFS(Sheet1!G$4:G$1000,Sheet1!$A$4:$A$1000,"&gt;="&amp;Report_P1!$K$5,Sheet1!$A$4:$A$1000,"&lt;="&amp;Report_P1!$K$6,Sheet1!$B$4:$B$1000,"계획",Sheet1!$C$4:$C$1000,"판매량")</f>
        <v>8</v>
      </c>
      <c r="C8" s="13">
        <f>SUMIFS(Sheet1!G$4:G$1000,Sheet1!$A$4:$A$1000,"&gt;="&amp;Report_P1!$K$5,Sheet1!$A$4:$A$1000,"&lt;="&amp;Report_P1!$K$6,Sheet1!$B$4:$B$1000,"계획",Sheet1!$C$4:$C$1000,"매출액")</f>
        <v>8</v>
      </c>
      <c r="D8" s="13">
        <f>SUMIFS(Sheet1!G$4:G$1000,Sheet1!$A$4:$A$1000,"&gt;="&amp;Report_P1!$K$5,Sheet1!$A$4:$A$1000,"&lt;="&amp;Report_P1!$K$6,Sheet1!$B$4:$B$1000,"계획",Sheet1!$C$4:$C$1000,"경상이익")</f>
        <v>-2</v>
      </c>
      <c r="E8" s="13">
        <f>SUMIFS(Sheet1!G$4:G$1000,Sheet1!$A$4:$A$1000,"&gt;="&amp;Report_P1!$K$5,Sheet1!$A$4:$A$1000,"&lt;="&amp;Report_P1!$K$6,Sheet1!$B$4:$B$1000,"실적",Sheet1!$C$4:$C$1000,"판매량")</f>
        <v>8</v>
      </c>
      <c r="F8" s="13">
        <f>SUMIFS(Sheet1!G$4:G$1000,Sheet1!$A$4:$A$1000,"&gt;="&amp;Report_P1!$K$5,Sheet1!$A$4:$A$1000,"&lt;="&amp;Report_P1!$K$6,Sheet1!$B$4:$B$1000,"실적",Sheet1!$C$4:$C$1000,"매출액")</f>
        <v>8</v>
      </c>
      <c r="G8" s="13">
        <f>SUMIFS(Sheet1!G$4:G$1000,Sheet1!$A$4:$A$1000,"&gt;="&amp;Report_P1!$K$5,Sheet1!$A$4:$A$1000,"&lt;="&amp;Report_P1!$K$6,Sheet1!$B$4:$B$1000,"실적",Sheet1!$C$4:$C$1000,"경상이익")</f>
        <v>0</v>
      </c>
      <c r="H8" s="13">
        <f t="shared" si="0"/>
        <v>2</v>
      </c>
    </row>
    <row r="9" spans="1:11" x14ac:dyDescent="0.45">
      <c r="A9" s="12" t="s">
        <v>8</v>
      </c>
      <c r="B9" s="13">
        <f>SUMIFS(Sheet1!H$4:H$1000,Sheet1!$A$4:$A$1000,"&gt;="&amp;Report_P1!$K$5,Sheet1!$A$4:$A$1000,"&lt;="&amp;Report_P1!$K$6,Sheet1!$B$4:$B$1000,"계획",Sheet1!$C$4:$C$1000,"판매량")</f>
        <v>16</v>
      </c>
      <c r="C9" s="13">
        <f>SUMIFS(Sheet1!H$4:H$1000,Sheet1!$A$4:$A$1000,"&gt;="&amp;Report_P1!$K$5,Sheet1!$A$4:$A$1000,"&lt;="&amp;Report_P1!$K$6,Sheet1!$B$4:$B$1000,"계획",Sheet1!$C$4:$C$1000,"매출액")</f>
        <v>16</v>
      </c>
      <c r="D9" s="13">
        <f>SUMIFS(Sheet1!H$4:H$1000,Sheet1!$A$4:$A$1000,"&gt;="&amp;Report_P1!$K$5,Sheet1!$A$4:$A$1000,"&lt;="&amp;Report_P1!$K$6,Sheet1!$B$4:$B$1000,"계획",Sheet1!$C$4:$C$1000,"경상이익")</f>
        <v>2</v>
      </c>
      <c r="E9" s="13">
        <f>SUMIFS(Sheet1!H$4:H$1000,Sheet1!$A$4:$A$1000,"&gt;="&amp;Report_P1!$K$5,Sheet1!$A$4:$A$1000,"&lt;="&amp;Report_P1!$K$6,Sheet1!$B$4:$B$1000,"실적",Sheet1!$C$4:$C$1000,"판매량")</f>
        <v>12</v>
      </c>
      <c r="F9" s="13">
        <f>SUMIFS(Sheet1!H$4:H$1000,Sheet1!$A$4:$A$1000,"&gt;="&amp;Report_P1!$K$5,Sheet1!$A$4:$A$1000,"&lt;="&amp;Report_P1!$K$6,Sheet1!$B$4:$B$1000,"실적",Sheet1!$C$4:$C$1000,"매출액")</f>
        <v>18</v>
      </c>
      <c r="G9" s="13">
        <f>SUMIFS(Sheet1!H$4:H$1000,Sheet1!$A$4:$A$1000,"&gt;="&amp;Report_P1!$K$5,Sheet1!$A$4:$A$1000,"&lt;="&amp;Report_P1!$K$6,Sheet1!$B$4:$B$1000,"실적",Sheet1!$C$4:$C$1000,"경상이익")</f>
        <v>1</v>
      </c>
      <c r="H9" s="13">
        <f t="shared" si="0"/>
        <v>-1</v>
      </c>
    </row>
    <row r="10" spans="1:11" x14ac:dyDescent="0.45">
      <c r="A10" s="12" t="s">
        <v>9</v>
      </c>
      <c r="B10" s="13">
        <f>SUMIFS(Sheet1!I$4:I$1000,Sheet1!$A$4:$A$1000,"&gt;="&amp;Report_P1!$K$5,Sheet1!$A$4:$A$1000,"&lt;="&amp;Report_P1!$K$6,Sheet1!$B$4:$B$1000,"계획",Sheet1!$C$4:$C$1000,"판매량")</f>
        <v>16</v>
      </c>
      <c r="C10" s="13">
        <f>SUMIFS(Sheet1!I$4:I$1000,Sheet1!$A$4:$A$1000,"&gt;="&amp;Report_P1!$K$5,Sheet1!$A$4:$A$1000,"&lt;="&amp;Report_P1!$K$6,Sheet1!$B$4:$B$1000,"계획",Sheet1!$C$4:$C$1000,"매출액")</f>
        <v>16</v>
      </c>
      <c r="D10" s="13">
        <f>SUMIFS(Sheet1!I$4:I$1000,Sheet1!$A$4:$A$1000,"&gt;="&amp;Report_P1!$K$5,Sheet1!$A$4:$A$1000,"&lt;="&amp;Report_P1!$K$6,Sheet1!$B$4:$B$1000,"계획",Sheet1!$C$4:$C$1000,"경상이익")</f>
        <v>2</v>
      </c>
      <c r="E10" s="13">
        <f>SUMIFS(Sheet1!I$4:I$1000,Sheet1!$A$4:$A$1000,"&gt;="&amp;Report_P1!$K$5,Sheet1!$A$4:$A$1000,"&lt;="&amp;Report_P1!$K$6,Sheet1!$B$4:$B$1000,"실적",Sheet1!$C$4:$C$1000,"판매량")</f>
        <v>12</v>
      </c>
      <c r="F10" s="13">
        <f>SUMIFS(Sheet1!I$4:I$1000,Sheet1!$A$4:$A$1000,"&gt;="&amp;Report_P1!$K$5,Sheet1!$A$4:$A$1000,"&lt;="&amp;Report_P1!$K$6,Sheet1!$B$4:$B$1000,"실적",Sheet1!$C$4:$C$1000,"매출액")</f>
        <v>18</v>
      </c>
      <c r="G10" s="13">
        <f>SUMIFS(Sheet1!I$4:I$1000,Sheet1!$A$4:$A$1000,"&gt;="&amp;Report_P1!$K$5,Sheet1!$A$4:$A$1000,"&lt;="&amp;Report_P1!$K$6,Sheet1!$B$4:$B$1000,"실적",Sheet1!$C$4:$C$1000,"경상이익")</f>
        <v>1</v>
      </c>
      <c r="H10" s="13">
        <f t="shared" si="0"/>
        <v>-1</v>
      </c>
    </row>
    <row r="11" spans="1:11" x14ac:dyDescent="0.45">
      <c r="A11" s="12" t="s">
        <v>10</v>
      </c>
      <c r="B11" s="13">
        <f>SUMIFS(Sheet1!J$4:J$1000,Sheet1!$A$4:$A$1000,"&gt;="&amp;Report_P1!$K$5,Sheet1!$A$4:$A$1000,"&lt;="&amp;Report_P1!$K$6,Sheet1!$B$4:$B$1000,"계획",Sheet1!$C$4:$C$1000,"판매량")</f>
        <v>16</v>
      </c>
      <c r="C11" s="13">
        <f>SUMIFS(Sheet1!J$4:J$1000,Sheet1!$A$4:$A$1000,"&gt;="&amp;Report_P1!$K$5,Sheet1!$A$4:$A$1000,"&lt;="&amp;Report_P1!$K$6,Sheet1!$B$4:$B$1000,"계획",Sheet1!$C$4:$C$1000,"매출액")</f>
        <v>16</v>
      </c>
      <c r="D11" s="13">
        <f>SUMIFS(Sheet1!J$4:J$1000,Sheet1!$A$4:$A$1000,"&gt;="&amp;Report_P1!$K$5,Sheet1!$A$4:$A$1000,"&lt;="&amp;Report_P1!$K$6,Sheet1!$B$4:$B$1000,"계획",Sheet1!$C$4:$C$1000,"경상이익")</f>
        <v>2</v>
      </c>
      <c r="E11" s="13">
        <f>SUMIFS(Sheet1!J$4:J$1000,Sheet1!$A$4:$A$1000,"&gt;="&amp;Report_P1!$K$5,Sheet1!$A$4:$A$1000,"&lt;="&amp;Report_P1!$K$6,Sheet1!$B$4:$B$1000,"실적",Sheet1!$C$4:$C$1000,"판매량")</f>
        <v>12</v>
      </c>
      <c r="F11" s="13">
        <f>SUMIFS(Sheet1!J$4:J$1000,Sheet1!$A$4:$A$1000,"&gt;="&amp;Report_P1!$K$5,Sheet1!$A$4:$A$1000,"&lt;="&amp;Report_P1!$K$6,Sheet1!$B$4:$B$1000,"실적",Sheet1!$C$4:$C$1000,"매출액")</f>
        <v>18</v>
      </c>
      <c r="G11" s="13">
        <f>SUMIFS(Sheet1!J$4:J$1000,Sheet1!$A$4:$A$1000,"&gt;="&amp;Report_P1!$K$5,Sheet1!$A$4:$A$1000,"&lt;="&amp;Report_P1!$K$6,Sheet1!$B$4:$B$1000,"실적",Sheet1!$C$4:$C$1000,"경상이익")</f>
        <v>1</v>
      </c>
      <c r="H11" s="13">
        <f t="shared" si="0"/>
        <v>-1</v>
      </c>
    </row>
    <row r="12" spans="1:11" x14ac:dyDescent="0.45">
      <c r="A12" s="12" t="s">
        <v>11</v>
      </c>
      <c r="B12" s="13">
        <f>SUMIFS(Sheet1!K$4:K$1000,Sheet1!$A$4:$A$1000,"&gt;="&amp;Report_P1!$K$5,Sheet1!$A$4:$A$1000,"&lt;="&amp;Report_P1!$K$6,Sheet1!$B$4:$B$1000,"계획",Sheet1!$C$4:$C$1000,"판매량")</f>
        <v>16</v>
      </c>
      <c r="C12" s="13">
        <f>SUMIFS(Sheet1!K$4:K$1000,Sheet1!$A$4:$A$1000,"&gt;="&amp;Report_P1!$K$5,Sheet1!$A$4:$A$1000,"&lt;="&amp;Report_P1!$K$6,Sheet1!$B$4:$B$1000,"계획",Sheet1!$C$4:$C$1000,"매출액")</f>
        <v>16</v>
      </c>
      <c r="D12" s="13">
        <f>SUMIFS(Sheet1!K$4:K$1000,Sheet1!$A$4:$A$1000,"&gt;="&amp;Report_P1!$K$5,Sheet1!$A$4:$A$1000,"&lt;="&amp;Report_P1!$K$6,Sheet1!$B$4:$B$1000,"계획",Sheet1!$C$4:$C$1000,"경상이익")</f>
        <v>2</v>
      </c>
      <c r="E12" s="13">
        <f>SUMIFS(Sheet1!K$4:K$1000,Sheet1!$A$4:$A$1000,"&gt;="&amp;Report_P1!$K$5,Sheet1!$A$4:$A$1000,"&lt;="&amp;Report_P1!$K$6,Sheet1!$B$4:$B$1000,"실적",Sheet1!$C$4:$C$1000,"판매량")</f>
        <v>18</v>
      </c>
      <c r="F12" s="13">
        <f>SUMIFS(Sheet1!K$4:K$1000,Sheet1!$A$4:$A$1000,"&gt;="&amp;Report_P1!$K$5,Sheet1!$A$4:$A$1000,"&lt;="&amp;Report_P1!$K$6,Sheet1!$B$4:$B$1000,"실적",Sheet1!$C$4:$C$1000,"매출액")</f>
        <v>16</v>
      </c>
      <c r="G12" s="13">
        <f>SUMIFS(Sheet1!K$4:K$1000,Sheet1!$A$4:$A$1000,"&gt;="&amp;Report_P1!$K$5,Sheet1!$A$4:$A$1000,"&lt;="&amp;Report_P1!$K$6,Sheet1!$B$4:$B$1000,"실적",Sheet1!$C$4:$C$1000,"경상이익")</f>
        <v>-2</v>
      </c>
      <c r="H12" s="13">
        <f t="shared" si="0"/>
        <v>-4</v>
      </c>
    </row>
    <row r="13" spans="1:11" x14ac:dyDescent="0.45">
      <c r="A13" s="12" t="s">
        <v>12</v>
      </c>
      <c r="B13" s="13">
        <f>SUMIFS(Sheet1!L$4:L$1000,Sheet1!$A$4:$A$1000,"&gt;="&amp;Report_P1!$K$5,Sheet1!$A$4:$A$1000,"&lt;="&amp;Report_P1!$K$6,Sheet1!$B$4:$B$1000,"계획",Sheet1!$C$4:$C$1000,"판매량")</f>
        <v>16</v>
      </c>
      <c r="C13" s="13">
        <f>SUMIFS(Sheet1!L$4:L$1000,Sheet1!$A$4:$A$1000,"&gt;="&amp;Report_P1!$K$5,Sheet1!$A$4:$A$1000,"&lt;="&amp;Report_P1!$K$6,Sheet1!$B$4:$B$1000,"계획",Sheet1!$C$4:$C$1000,"매출액")</f>
        <v>16</v>
      </c>
      <c r="D13" s="13">
        <f>SUMIFS(Sheet1!L$4:L$1000,Sheet1!$A$4:$A$1000,"&gt;="&amp;Report_P1!$K$5,Sheet1!$A$4:$A$1000,"&lt;="&amp;Report_P1!$K$6,Sheet1!$B$4:$B$1000,"계획",Sheet1!$C$4:$C$1000,"경상이익")</f>
        <v>2</v>
      </c>
      <c r="E13" s="13">
        <f>SUMIFS(Sheet1!L$4:L$1000,Sheet1!$A$4:$A$1000,"&gt;="&amp;Report_P1!$K$5,Sheet1!$A$4:$A$1000,"&lt;="&amp;Report_P1!$K$6,Sheet1!$B$4:$B$1000,"실적",Sheet1!$C$4:$C$1000,"판매량")</f>
        <v>18</v>
      </c>
      <c r="F13" s="13">
        <f>SUMIFS(Sheet1!L$4:L$1000,Sheet1!$A$4:$A$1000,"&gt;="&amp;Report_P1!$K$5,Sheet1!$A$4:$A$1000,"&lt;="&amp;Report_P1!$K$6,Sheet1!$B$4:$B$1000,"실적",Sheet1!$C$4:$C$1000,"매출액")</f>
        <v>16</v>
      </c>
      <c r="G13" s="13">
        <f>SUMIFS(Sheet1!L$4:L$1000,Sheet1!$A$4:$A$1000,"&gt;="&amp;Report_P1!$K$5,Sheet1!$A$4:$A$1000,"&lt;="&amp;Report_P1!$K$6,Sheet1!$B$4:$B$1000,"실적",Sheet1!$C$4:$C$1000,"경상이익")</f>
        <v>-2</v>
      </c>
      <c r="H13" s="13">
        <f t="shared" si="0"/>
        <v>-4</v>
      </c>
    </row>
    <row r="14" spans="1:11" x14ac:dyDescent="0.45">
      <c r="A14" s="12" t="s">
        <v>13</v>
      </c>
      <c r="B14" s="13">
        <f>SUMIFS(Sheet1!M$4:M$1000,Sheet1!$A$4:$A$1000,"&gt;="&amp;Report_P1!$K$5,Sheet1!$A$4:$A$1000,"&lt;="&amp;Report_P1!$K$6,Sheet1!$B$4:$B$1000,"계획",Sheet1!$C$4:$C$1000,"판매량")</f>
        <v>16</v>
      </c>
      <c r="C14" s="13">
        <f>SUMIFS(Sheet1!M$4:M$1000,Sheet1!$A$4:$A$1000,"&gt;="&amp;Report_P1!$K$5,Sheet1!$A$4:$A$1000,"&lt;="&amp;Report_P1!$K$6,Sheet1!$B$4:$B$1000,"계획",Sheet1!$C$4:$C$1000,"매출액")</f>
        <v>16</v>
      </c>
      <c r="D14" s="13">
        <f>SUMIFS(Sheet1!M$4:M$1000,Sheet1!$A$4:$A$1000,"&gt;="&amp;Report_P1!$K$5,Sheet1!$A$4:$A$1000,"&lt;="&amp;Report_P1!$K$6,Sheet1!$B$4:$B$1000,"계획",Sheet1!$C$4:$C$1000,"경상이익")</f>
        <v>2</v>
      </c>
      <c r="E14" s="13">
        <f>SUMIFS(Sheet1!M$4:M$1000,Sheet1!$A$4:$A$1000,"&gt;="&amp;Report_P1!$K$5,Sheet1!$A$4:$A$1000,"&lt;="&amp;Report_P1!$K$6,Sheet1!$B$4:$B$1000,"실적",Sheet1!$C$4:$C$1000,"판매량")</f>
        <v>0</v>
      </c>
      <c r="F14" s="13">
        <f>SUMIFS(Sheet1!M$4:M$1000,Sheet1!$A$4:$A$1000,"&gt;="&amp;Report_P1!$K$5,Sheet1!$A$4:$A$1000,"&lt;="&amp;Report_P1!$K$6,Sheet1!$B$4:$B$1000,"실적",Sheet1!$C$4:$C$1000,"매출액")</f>
        <v>0</v>
      </c>
      <c r="G14" s="13">
        <f>SUMIFS(Sheet1!M$4:M$1000,Sheet1!$A$4:$A$1000,"&gt;="&amp;Report_P1!$K$5,Sheet1!$A$4:$A$1000,"&lt;="&amp;Report_P1!$K$6,Sheet1!$B$4:$B$1000,"실적",Sheet1!$C$4:$C$1000,"경상이익")</f>
        <v>1</v>
      </c>
      <c r="H14" s="13">
        <f t="shared" si="0"/>
        <v>-1</v>
      </c>
    </row>
    <row r="15" spans="1:11" x14ac:dyDescent="0.45">
      <c r="A15" s="12" t="s">
        <v>14</v>
      </c>
      <c r="B15" s="13">
        <f>SUMIFS(Sheet1!N$4:N$1000,Sheet1!$A$4:$A$1000,"&gt;="&amp;Report_P1!$K$5,Sheet1!$A$4:$A$1000,"&lt;="&amp;Report_P1!$K$6,Sheet1!$B$4:$B$1000,"계획",Sheet1!$C$4:$C$1000,"판매량")</f>
        <v>16</v>
      </c>
      <c r="C15" s="13">
        <f>SUMIFS(Sheet1!N$4:N$1000,Sheet1!$A$4:$A$1000,"&gt;="&amp;Report_P1!$K$5,Sheet1!$A$4:$A$1000,"&lt;="&amp;Report_P1!$K$6,Sheet1!$B$4:$B$1000,"계획",Sheet1!$C$4:$C$1000,"매출액")</f>
        <v>16</v>
      </c>
      <c r="D15" s="13">
        <f>SUMIFS(Sheet1!N$4:N$1000,Sheet1!$A$4:$A$1000,"&gt;="&amp;Report_P1!$K$5,Sheet1!$A$4:$A$1000,"&lt;="&amp;Report_P1!$K$6,Sheet1!$B$4:$B$1000,"계획",Sheet1!$C$4:$C$1000,"경상이익")</f>
        <v>2</v>
      </c>
      <c r="E15" s="13">
        <f>SUMIFS(Sheet1!N$4:N$1000,Sheet1!$A$4:$A$1000,"&gt;="&amp;Report_P1!$K$5,Sheet1!$A$4:$A$1000,"&lt;="&amp;Report_P1!$K$6,Sheet1!$B$4:$B$1000,"실적",Sheet1!$C$4:$C$1000,"판매량")</f>
        <v>18</v>
      </c>
      <c r="F15" s="13">
        <f>SUMIFS(Sheet1!N$4:N$1000,Sheet1!$A$4:$A$1000,"&gt;="&amp;Report_P1!$K$5,Sheet1!$A$4:$A$1000,"&lt;="&amp;Report_P1!$K$6,Sheet1!$B$4:$B$1000,"실적",Sheet1!$C$4:$C$1000,"매출액")</f>
        <v>16</v>
      </c>
      <c r="G15" s="13">
        <f>SUMIFS(Sheet1!N$4:N$1000,Sheet1!$A$4:$A$1000,"&gt;="&amp;Report_P1!$K$5,Sheet1!$A$4:$A$1000,"&lt;="&amp;Report_P1!$K$6,Sheet1!$B$4:$B$1000,"실적",Sheet1!$C$4:$C$1000,"경상이익")</f>
        <v>-2</v>
      </c>
      <c r="H15" s="13">
        <f t="shared" si="0"/>
        <v>-4</v>
      </c>
    </row>
    <row r="16" spans="1:11" x14ac:dyDescent="0.45">
      <c r="A16" s="12" t="s">
        <v>15</v>
      </c>
      <c r="B16" s="13">
        <f>SUMIFS(Sheet1!O$4:O$1000,Sheet1!$A$4:$A$1000,"&gt;="&amp;Report_P1!$K$5,Sheet1!$A$4:$A$1000,"&lt;="&amp;Report_P1!$K$6,Sheet1!$B$4:$B$1000,"계획",Sheet1!$C$4:$C$1000,"판매량")</f>
        <v>16</v>
      </c>
      <c r="C16" s="13">
        <f>SUMIFS(Sheet1!O$4:O$1000,Sheet1!$A$4:$A$1000,"&gt;="&amp;Report_P1!$K$5,Sheet1!$A$4:$A$1000,"&lt;="&amp;Report_P1!$K$6,Sheet1!$B$4:$B$1000,"계획",Sheet1!$C$4:$C$1000,"매출액")</f>
        <v>16</v>
      </c>
      <c r="D16" s="13">
        <f>SUMIFS(Sheet1!O$4:O$1000,Sheet1!$A$4:$A$1000,"&gt;="&amp;Report_P1!$K$5,Sheet1!$A$4:$A$1000,"&lt;="&amp;Report_P1!$K$6,Sheet1!$B$4:$B$1000,"계획",Sheet1!$C$4:$C$1000,"경상이익")</f>
        <v>2</v>
      </c>
      <c r="E16" s="13">
        <f>SUMIFS(Sheet1!O$4:O$1000,Sheet1!$A$4:$A$1000,"&gt;="&amp;Report_P1!$K$5,Sheet1!$A$4:$A$1000,"&lt;="&amp;Report_P1!$K$6,Sheet1!$B$4:$B$1000,"실적",Sheet1!$C$4:$C$1000,"판매량")</f>
        <v>24</v>
      </c>
      <c r="F16" s="13">
        <f>SUMIFS(Sheet1!O$4:O$1000,Sheet1!$A$4:$A$1000,"&gt;="&amp;Report_P1!$K$5,Sheet1!$A$4:$A$1000,"&lt;="&amp;Report_P1!$K$6,Sheet1!$B$4:$B$1000,"실적",Sheet1!$C$4:$C$1000,"매출액")</f>
        <v>36</v>
      </c>
      <c r="G16" s="13">
        <f>SUMIFS(Sheet1!O$4:O$1000,Sheet1!$A$4:$A$1000,"&gt;="&amp;Report_P1!$K$5,Sheet1!$A$4:$A$1000,"&lt;="&amp;Report_P1!$K$6,Sheet1!$B$4:$B$1000,"실적",Sheet1!$C$4:$C$1000,"경상이익")</f>
        <v>2</v>
      </c>
      <c r="H16" s="13">
        <f t="shared" si="0"/>
        <v>0</v>
      </c>
    </row>
    <row r="17" spans="1:8" x14ac:dyDescent="0.45">
      <c r="A17" s="12" t="s">
        <v>16</v>
      </c>
      <c r="B17" s="13">
        <f>SUMIFS(Sheet1!P$4:P$1000,Sheet1!$A$4:$A$1000,"&gt;="&amp;Report_P1!$K$5,Sheet1!$A$4:$A$1000,"&lt;="&amp;Report_P1!$K$6,Sheet1!$B$4:$B$1000,"계획",Sheet1!$C$4:$C$1000,"판매량")</f>
        <v>16</v>
      </c>
      <c r="C17" s="13">
        <f>SUMIFS(Sheet1!P$4:P$1000,Sheet1!$A$4:$A$1000,"&gt;="&amp;Report_P1!$K$5,Sheet1!$A$4:$A$1000,"&lt;="&amp;Report_P1!$K$6,Sheet1!$B$4:$B$1000,"계획",Sheet1!$C$4:$C$1000,"매출액")</f>
        <v>16</v>
      </c>
      <c r="D17" s="13">
        <f>SUMIFS(Sheet1!P$4:P$1000,Sheet1!$A$4:$A$1000,"&gt;="&amp;Report_P1!$K$5,Sheet1!$A$4:$A$1000,"&lt;="&amp;Report_P1!$K$6,Sheet1!$B$4:$B$1000,"계획",Sheet1!$C$4:$C$1000,"경상이익")</f>
        <v>2</v>
      </c>
      <c r="E17" s="13">
        <f>SUMIFS(Sheet1!P$4:P$1000,Sheet1!$A$4:$A$1000,"&gt;="&amp;Report_P1!$K$5,Sheet1!$A$4:$A$1000,"&lt;="&amp;Report_P1!$K$6,Sheet1!$B$4:$B$1000,"실적",Sheet1!$C$4:$C$1000,"판매량")</f>
        <v>24</v>
      </c>
      <c r="F17" s="13">
        <f>SUMIFS(Sheet1!P$4:P$1000,Sheet1!$A$4:$A$1000,"&gt;="&amp;Report_P1!$K$5,Sheet1!$A$4:$A$1000,"&lt;="&amp;Report_P1!$K$6,Sheet1!$B$4:$B$1000,"실적",Sheet1!$C$4:$C$1000,"매출액")</f>
        <v>36</v>
      </c>
      <c r="G17" s="13">
        <f>SUMIFS(Sheet1!P$4:P$1000,Sheet1!$A$4:$A$1000,"&gt;="&amp;Report_P1!$K$5,Sheet1!$A$4:$A$1000,"&lt;="&amp;Report_P1!$K$6,Sheet1!$B$4:$B$1000,"실적",Sheet1!$C$4:$C$1000,"경상이익")</f>
        <v>2</v>
      </c>
      <c r="H17" s="13">
        <f t="shared" si="0"/>
        <v>0</v>
      </c>
    </row>
    <row r="18" spans="1:8" x14ac:dyDescent="0.45">
      <c r="A18" s="12" t="s">
        <v>17</v>
      </c>
      <c r="B18" s="13">
        <f>SUMIFS(Sheet1!Q$4:Q$1000,Sheet1!$A$4:$A$1000,"&gt;="&amp;Report_P1!$K$5,Sheet1!$A$4:$A$1000,"&lt;="&amp;Report_P1!$K$6,Sheet1!$B$4:$B$1000,"계획",Sheet1!$C$4:$C$1000,"판매량")</f>
        <v>16</v>
      </c>
      <c r="C18" s="13">
        <f>SUMIFS(Sheet1!Q$4:Q$1000,Sheet1!$A$4:$A$1000,"&gt;="&amp;Report_P1!$K$5,Sheet1!$A$4:$A$1000,"&lt;="&amp;Report_P1!$K$6,Sheet1!$B$4:$B$1000,"계획",Sheet1!$C$4:$C$1000,"매출액")</f>
        <v>16</v>
      </c>
      <c r="D18" s="13">
        <f>SUMIFS(Sheet1!Q$4:Q$1000,Sheet1!$A$4:$A$1000,"&gt;="&amp;Report_P1!$K$5,Sheet1!$A$4:$A$1000,"&lt;="&amp;Report_P1!$K$6,Sheet1!$B$4:$B$1000,"계획",Sheet1!$C$4:$C$1000,"경상이익")</f>
        <v>2</v>
      </c>
      <c r="E18" s="13">
        <f>SUMIFS(Sheet1!Q$4:Q$1000,Sheet1!$A$4:$A$1000,"&gt;="&amp;Report_P1!$K$5,Sheet1!$A$4:$A$1000,"&lt;="&amp;Report_P1!$K$6,Sheet1!$B$4:$B$1000,"실적",Sheet1!$C$4:$C$1000,"판매량")</f>
        <v>24</v>
      </c>
      <c r="F18" s="13">
        <f>SUMIFS(Sheet1!Q$4:Q$1000,Sheet1!$A$4:$A$1000,"&gt;="&amp;Report_P1!$K$5,Sheet1!$A$4:$A$1000,"&lt;="&amp;Report_P1!$K$6,Sheet1!$B$4:$B$1000,"실적",Sheet1!$C$4:$C$1000,"매출액")</f>
        <v>36</v>
      </c>
      <c r="G18" s="13">
        <f>SUMIFS(Sheet1!Q$4:Q$1000,Sheet1!$A$4:$A$1000,"&gt;="&amp;Report_P1!$K$5,Sheet1!$A$4:$A$1000,"&lt;="&amp;Report_P1!$K$6,Sheet1!$B$4:$B$1000,"실적",Sheet1!$C$4:$C$1000,"경상이익")</f>
        <v>2</v>
      </c>
      <c r="H18" s="13">
        <f t="shared" si="0"/>
        <v>0</v>
      </c>
    </row>
    <row r="19" spans="1:8" x14ac:dyDescent="0.45">
      <c r="A19" s="12" t="s">
        <v>18</v>
      </c>
      <c r="B19" s="13">
        <f>SUMIFS(Sheet1!R$4:R$1000,Sheet1!$A$4:$A$1000,"&gt;="&amp;Report_P1!$K$5,Sheet1!$A$4:$A$1000,"&lt;="&amp;Report_P1!$K$6,Sheet1!$B$4:$B$1000,"계획",Sheet1!$C$4:$C$1000,"판매량")</f>
        <v>16</v>
      </c>
      <c r="C19" s="13">
        <f>SUMIFS(Sheet1!R$4:R$1000,Sheet1!$A$4:$A$1000,"&gt;="&amp;Report_P1!$K$5,Sheet1!$A$4:$A$1000,"&lt;="&amp;Report_P1!$K$6,Sheet1!$B$4:$B$1000,"계획",Sheet1!$C$4:$C$1000,"매출액")</f>
        <v>16</v>
      </c>
      <c r="D19" s="13">
        <f>SUMIFS(Sheet1!R$4:R$1000,Sheet1!$A$4:$A$1000,"&gt;="&amp;Report_P1!$K$5,Sheet1!$A$4:$A$1000,"&lt;="&amp;Report_P1!$K$6,Sheet1!$B$4:$B$1000,"계획",Sheet1!$C$4:$C$1000,"경상이익")</f>
        <v>2</v>
      </c>
      <c r="E19" s="13">
        <f>SUMIFS(Sheet1!R$4:R$1000,Sheet1!$A$4:$A$1000,"&gt;="&amp;Report_P1!$K$5,Sheet1!$A$4:$A$1000,"&lt;="&amp;Report_P1!$K$6,Sheet1!$B$4:$B$1000,"실적",Sheet1!$C$4:$C$1000,"판매량")</f>
        <v>24</v>
      </c>
      <c r="F19" s="13">
        <f>SUMIFS(Sheet1!R$4:R$1000,Sheet1!$A$4:$A$1000,"&gt;="&amp;Report_P1!$K$5,Sheet1!$A$4:$A$1000,"&lt;="&amp;Report_P1!$K$6,Sheet1!$B$4:$B$1000,"실적",Sheet1!$C$4:$C$1000,"매출액")</f>
        <v>36</v>
      </c>
      <c r="G19" s="13">
        <f>SUMIFS(Sheet1!R$4:R$1000,Sheet1!$A$4:$A$1000,"&gt;="&amp;Report_P1!$K$5,Sheet1!$A$4:$A$1000,"&lt;="&amp;Report_P1!$K$6,Sheet1!$B$4:$B$1000,"실적",Sheet1!$C$4:$C$1000,"경상이익")</f>
        <v>2</v>
      </c>
      <c r="H19" s="13">
        <f t="shared" si="0"/>
        <v>0</v>
      </c>
    </row>
    <row r="20" spans="1:8" x14ac:dyDescent="0.45">
      <c r="A20" s="14" t="s">
        <v>19</v>
      </c>
      <c r="B20" s="15">
        <f t="shared" ref="B20:H20" si="1">SUM(B5:B19)</f>
        <v>232</v>
      </c>
      <c r="C20" s="15">
        <f t="shared" si="1"/>
        <v>232</v>
      </c>
      <c r="D20" s="15">
        <f t="shared" si="1"/>
        <v>26</v>
      </c>
      <c r="E20" s="15">
        <f t="shared" si="1"/>
        <v>245</v>
      </c>
      <c r="F20" s="15">
        <f t="shared" si="1"/>
        <v>296</v>
      </c>
      <c r="G20" s="15">
        <f t="shared" si="1"/>
        <v>12</v>
      </c>
      <c r="H20" s="15">
        <f t="shared" si="1"/>
        <v>-14</v>
      </c>
    </row>
  </sheetData>
  <phoneticPr fontId="1" type="noConversion"/>
  <conditionalFormatting sqref="H5:H20">
    <cfRule type="cellIs" dxfId="4" priority="1" operator="greaterThan">
      <formula>0</formula>
    </cfRule>
    <cfRule type="cellIs" dxfId="3" priority="2" operator="lessThan">
      <formula>0</formula>
    </cfRule>
  </conditionalFormatting>
  <dataValidations count="1">
    <dataValidation type="list" errorTitle="잘못된 입력" error="목록에 있는 기준월만 선택하세요." sqref="B2" xr:uid="{00000000-0002-0000-0200-000000000000}">
      <formula1>PeriodList</formula1>
    </dataValidation>
  </dataValidations>
  <pageMargins left="0.4" right="0.4" top="0.5" bottom="0.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style="4" customWidth="1"/>
    <col min="2" max="6" width="14" style="4" customWidth="1"/>
    <col min="7" max="7" width="22" style="4" customWidth="1"/>
  </cols>
  <sheetData>
    <row r="1" spans="1:7" ht="21" customHeight="1" x14ac:dyDescent="0.55000000000000004">
      <c r="A1" s="8" t="s">
        <v>54</v>
      </c>
    </row>
    <row r="2" spans="1:7" x14ac:dyDescent="0.45">
      <c r="A2" s="16" t="s">
        <v>40</v>
      </c>
      <c r="B2" s="17" t="str">
        <f>Report_P1!B2</f>
        <v>2026-02 누계</v>
      </c>
    </row>
    <row r="4" spans="1:7" ht="32" customHeight="1" x14ac:dyDescent="0.45">
      <c r="A4" s="11" t="s">
        <v>43</v>
      </c>
      <c r="B4" s="11" t="s">
        <v>55</v>
      </c>
      <c r="C4" s="11" t="s">
        <v>56</v>
      </c>
      <c r="D4" s="11" t="s">
        <v>57</v>
      </c>
      <c r="E4" s="11" t="s">
        <v>58</v>
      </c>
      <c r="F4" s="11" t="s">
        <v>59</v>
      </c>
      <c r="G4" s="11" t="s">
        <v>60</v>
      </c>
    </row>
    <row r="5" spans="1:7" x14ac:dyDescent="0.45">
      <c r="A5" s="12" t="s">
        <v>4</v>
      </c>
      <c r="B5" s="13">
        <f>Report_P1!G5-Report_P1!D5</f>
        <v>0</v>
      </c>
      <c r="C5" s="13">
        <f>Calc!B16*(Calc!B3-Calc!B2)</f>
        <v>0.625</v>
      </c>
      <c r="D5" s="13">
        <f>(Calc!B17-Calc!B16)*Calc!B3</f>
        <v>0.37499999999999867</v>
      </c>
      <c r="E5" s="13">
        <f>Calc!B18-Calc!B19</f>
        <v>-4</v>
      </c>
      <c r="F5" s="13">
        <f>Calc!B15-Calc!B14</f>
        <v>3</v>
      </c>
      <c r="G5" s="13">
        <f t="shared" ref="G5:G20" si="0">ROUND(C5+D5+E5+F5-B5,6)</f>
        <v>0</v>
      </c>
    </row>
    <row r="6" spans="1:7" x14ac:dyDescent="0.45">
      <c r="A6" s="12" t="s">
        <v>5</v>
      </c>
      <c r="B6" s="13">
        <f>Report_P1!G6-Report_P1!D6</f>
        <v>0</v>
      </c>
      <c r="C6" s="13">
        <f>Calc!C16*(Calc!C3-Calc!C2)</f>
        <v>0.625</v>
      </c>
      <c r="D6" s="13">
        <f>(Calc!C17-Calc!C16)*Calc!C3</f>
        <v>0.37499999999999867</v>
      </c>
      <c r="E6" s="13">
        <f>Calc!C18-Calc!C19</f>
        <v>-4</v>
      </c>
      <c r="F6" s="13">
        <f>Calc!C15-Calc!C14</f>
        <v>3</v>
      </c>
      <c r="G6" s="13">
        <f t="shared" si="0"/>
        <v>0</v>
      </c>
    </row>
    <row r="7" spans="1:7" x14ac:dyDescent="0.45">
      <c r="A7" s="12" t="s">
        <v>6</v>
      </c>
      <c r="B7" s="13">
        <f>Report_P1!G7-Report_P1!D7</f>
        <v>0</v>
      </c>
      <c r="C7" s="13">
        <f>Calc!D16*(Calc!D3-Calc!D2)</f>
        <v>0.625</v>
      </c>
      <c r="D7" s="13">
        <f>(Calc!D17-Calc!D16)*Calc!D3</f>
        <v>0.37499999999999867</v>
      </c>
      <c r="E7" s="13">
        <f>Calc!D18-Calc!D19</f>
        <v>-4</v>
      </c>
      <c r="F7" s="13">
        <f>Calc!D15-Calc!D14</f>
        <v>3</v>
      </c>
      <c r="G7" s="13">
        <f t="shared" si="0"/>
        <v>0</v>
      </c>
    </row>
    <row r="8" spans="1:7" x14ac:dyDescent="0.45">
      <c r="A8" s="12" t="s">
        <v>7</v>
      </c>
      <c r="B8" s="13">
        <f>Report_P1!G8-Report_P1!D8</f>
        <v>2</v>
      </c>
      <c r="C8" s="13">
        <f>Calc!E16*(Calc!E3-Calc!E2)</f>
        <v>0</v>
      </c>
      <c r="D8" s="13">
        <f>(Calc!E17-Calc!E16)*Calc!E3</f>
        <v>0</v>
      </c>
      <c r="E8" s="13">
        <f>Calc!E18-Calc!E19</f>
        <v>-2</v>
      </c>
      <c r="F8" s="13">
        <f>Calc!E15-Calc!E14</f>
        <v>4</v>
      </c>
      <c r="G8" s="13">
        <f t="shared" si="0"/>
        <v>0</v>
      </c>
    </row>
    <row r="9" spans="1:7" x14ac:dyDescent="0.45">
      <c r="A9" s="12" t="s">
        <v>8</v>
      </c>
      <c r="B9" s="13">
        <f>Report_P1!G9-Report_P1!D9</f>
        <v>-1</v>
      </c>
      <c r="C9" s="13">
        <f>Calc!F16*(Calc!F3-Calc!F2)</f>
        <v>-2.5</v>
      </c>
      <c r="D9" s="13">
        <f>(Calc!F17-Calc!F16)*Calc!F3</f>
        <v>1.5</v>
      </c>
      <c r="E9" s="13">
        <f>Calc!F18-Calc!F19</f>
        <v>1</v>
      </c>
      <c r="F9" s="13">
        <f>Calc!F15-Calc!F14</f>
        <v>-1</v>
      </c>
      <c r="G9" s="13">
        <f t="shared" si="0"/>
        <v>0</v>
      </c>
    </row>
    <row r="10" spans="1:7" x14ac:dyDescent="0.45">
      <c r="A10" s="12" t="s">
        <v>9</v>
      </c>
      <c r="B10" s="13">
        <f>Report_P1!G10-Report_P1!D10</f>
        <v>-1</v>
      </c>
      <c r="C10" s="13">
        <f>Calc!G16*(Calc!G3-Calc!G2)</f>
        <v>-2.5</v>
      </c>
      <c r="D10" s="13">
        <f>(Calc!G17-Calc!G16)*Calc!G3</f>
        <v>1.5</v>
      </c>
      <c r="E10" s="13">
        <f>Calc!G18-Calc!G19</f>
        <v>1</v>
      </c>
      <c r="F10" s="13">
        <f>Calc!G15-Calc!G14</f>
        <v>-1</v>
      </c>
      <c r="G10" s="13">
        <f t="shared" si="0"/>
        <v>0</v>
      </c>
    </row>
    <row r="11" spans="1:7" x14ac:dyDescent="0.45">
      <c r="A11" s="12" t="s">
        <v>10</v>
      </c>
      <c r="B11" s="13">
        <f>Report_P1!G11-Report_P1!D11</f>
        <v>-1</v>
      </c>
      <c r="C11" s="13">
        <f>Calc!H16*(Calc!H3-Calc!H2)</f>
        <v>-2.5</v>
      </c>
      <c r="D11" s="13">
        <f>(Calc!H17-Calc!H16)*Calc!H3</f>
        <v>1.5</v>
      </c>
      <c r="E11" s="13">
        <f>Calc!H18-Calc!H19</f>
        <v>1</v>
      </c>
      <c r="F11" s="13">
        <f>Calc!H15-Calc!H14</f>
        <v>-1</v>
      </c>
      <c r="G11" s="13">
        <f t="shared" si="0"/>
        <v>0</v>
      </c>
    </row>
    <row r="12" spans="1:7" x14ac:dyDescent="0.45">
      <c r="A12" s="12" t="s">
        <v>11</v>
      </c>
      <c r="B12" s="13">
        <f>Report_P1!G12-Report_P1!D12</f>
        <v>-4</v>
      </c>
      <c r="C12" s="13">
        <f>Calc!I16*(Calc!I3-Calc!I2)</f>
        <v>1.25</v>
      </c>
      <c r="D12" s="13">
        <f>(Calc!I17-Calc!I16)*Calc!I3</f>
        <v>-3.2500000000000004</v>
      </c>
      <c r="E12" s="13">
        <f>Calc!I18-Calc!I19</f>
        <v>0</v>
      </c>
      <c r="F12" s="13">
        <f>Calc!I15-Calc!I14</f>
        <v>-2</v>
      </c>
      <c r="G12" s="13">
        <f t="shared" si="0"/>
        <v>0</v>
      </c>
    </row>
    <row r="13" spans="1:7" x14ac:dyDescent="0.45">
      <c r="A13" s="12" t="s">
        <v>12</v>
      </c>
      <c r="B13" s="13">
        <f>Report_P1!G13-Report_P1!D13</f>
        <v>-4</v>
      </c>
      <c r="C13" s="13">
        <f>Calc!J16*(Calc!J3-Calc!J2)</f>
        <v>1.25</v>
      </c>
      <c r="D13" s="13">
        <f>(Calc!J17-Calc!J16)*Calc!J3</f>
        <v>-3.2500000000000004</v>
      </c>
      <c r="E13" s="13">
        <f>Calc!J18-Calc!J19</f>
        <v>0</v>
      </c>
      <c r="F13" s="13">
        <f>Calc!J15-Calc!J14</f>
        <v>-2</v>
      </c>
      <c r="G13" s="13">
        <f t="shared" si="0"/>
        <v>0</v>
      </c>
    </row>
    <row r="14" spans="1:7" x14ac:dyDescent="0.45">
      <c r="A14" s="12" t="s">
        <v>13</v>
      </c>
      <c r="B14" s="13">
        <f>Report_P1!G14-Report_P1!D14</f>
        <v>-1</v>
      </c>
      <c r="C14" s="13">
        <f>Calc!K16*(Calc!K3-Calc!K2)</f>
        <v>-10</v>
      </c>
      <c r="D14" s="13">
        <f>(Calc!K17-Calc!K16)*Calc!K3</f>
        <v>0</v>
      </c>
      <c r="E14" s="13">
        <f>Calc!K18-Calc!K19</f>
        <v>4</v>
      </c>
      <c r="F14" s="13">
        <f>Calc!K15-Calc!K14</f>
        <v>5</v>
      </c>
      <c r="G14" s="13">
        <f t="shared" si="0"/>
        <v>0</v>
      </c>
    </row>
    <row r="15" spans="1:7" x14ac:dyDescent="0.45">
      <c r="A15" s="12" t="s">
        <v>14</v>
      </c>
      <c r="B15" s="13">
        <f>Report_P1!G15-Report_P1!D15</f>
        <v>-4</v>
      </c>
      <c r="C15" s="13">
        <f>Calc!L16*(Calc!L3-Calc!L2)</f>
        <v>1.25</v>
      </c>
      <c r="D15" s="13">
        <f>(Calc!L17-Calc!L16)*Calc!L3</f>
        <v>-3.2500000000000004</v>
      </c>
      <c r="E15" s="13">
        <f>Calc!L18-Calc!L19</f>
        <v>0</v>
      </c>
      <c r="F15" s="13">
        <f>Calc!L15-Calc!L14</f>
        <v>-2</v>
      </c>
      <c r="G15" s="13">
        <f t="shared" si="0"/>
        <v>0</v>
      </c>
    </row>
    <row r="16" spans="1:7" x14ac:dyDescent="0.45">
      <c r="A16" s="12" t="s">
        <v>15</v>
      </c>
      <c r="B16" s="13">
        <f>Report_P1!G16-Report_P1!D16</f>
        <v>0</v>
      </c>
      <c r="C16" s="13">
        <f>Calc!M16*(Calc!M3-Calc!M2)</f>
        <v>5</v>
      </c>
      <c r="D16" s="13">
        <f>(Calc!M17-Calc!M16)*Calc!M3</f>
        <v>0.99999999999999911</v>
      </c>
      <c r="E16" s="13">
        <f>Calc!M18-Calc!M19</f>
        <v>-3</v>
      </c>
      <c r="F16" s="13">
        <f>Calc!M15-Calc!M14</f>
        <v>-3</v>
      </c>
      <c r="G16" s="13">
        <f t="shared" si="0"/>
        <v>0</v>
      </c>
    </row>
    <row r="17" spans="1:7" x14ac:dyDescent="0.45">
      <c r="A17" s="12" t="s">
        <v>16</v>
      </c>
      <c r="B17" s="13">
        <f>Report_P1!G17-Report_P1!D17</f>
        <v>0</v>
      </c>
      <c r="C17" s="13">
        <f>Calc!N16*(Calc!N3-Calc!N2)</f>
        <v>5</v>
      </c>
      <c r="D17" s="13">
        <f>(Calc!N17-Calc!N16)*Calc!N3</f>
        <v>0.99999999999999911</v>
      </c>
      <c r="E17" s="13">
        <f>Calc!N18-Calc!N19</f>
        <v>-3</v>
      </c>
      <c r="F17" s="13">
        <f>Calc!N15-Calc!N14</f>
        <v>-3</v>
      </c>
      <c r="G17" s="13">
        <f t="shared" si="0"/>
        <v>0</v>
      </c>
    </row>
    <row r="18" spans="1:7" x14ac:dyDescent="0.45">
      <c r="A18" s="12" t="s">
        <v>17</v>
      </c>
      <c r="B18" s="13">
        <f>Report_P1!G18-Report_P1!D18</f>
        <v>0</v>
      </c>
      <c r="C18" s="13">
        <f>Calc!O16*(Calc!O3-Calc!O2)</f>
        <v>5</v>
      </c>
      <c r="D18" s="13">
        <f>(Calc!O17-Calc!O16)*Calc!O3</f>
        <v>0.99999999999999911</v>
      </c>
      <c r="E18" s="13">
        <f>Calc!O18-Calc!O19</f>
        <v>-3</v>
      </c>
      <c r="F18" s="13">
        <f>Calc!O15-Calc!O14</f>
        <v>-3</v>
      </c>
      <c r="G18" s="13">
        <f t="shared" si="0"/>
        <v>0</v>
      </c>
    </row>
    <row r="19" spans="1:7" x14ac:dyDescent="0.45">
      <c r="A19" s="12" t="s">
        <v>18</v>
      </c>
      <c r="B19" s="13">
        <f>Report_P1!G19-Report_P1!D19</f>
        <v>0</v>
      </c>
      <c r="C19" s="13">
        <f>Calc!P16*(Calc!P3-Calc!P2)</f>
        <v>5</v>
      </c>
      <c r="D19" s="13">
        <f>(Calc!P17-Calc!P16)*Calc!P3</f>
        <v>0.99999999999999911</v>
      </c>
      <c r="E19" s="13">
        <f>Calc!P18-Calc!P19</f>
        <v>-3</v>
      </c>
      <c r="F19" s="13">
        <f>Calc!P15-Calc!P14</f>
        <v>-3</v>
      </c>
      <c r="G19" s="13">
        <f t="shared" si="0"/>
        <v>0</v>
      </c>
    </row>
    <row r="20" spans="1:7" x14ac:dyDescent="0.45">
      <c r="A20" s="14" t="s">
        <v>19</v>
      </c>
      <c r="B20" s="15">
        <f>SUM(B5:B19)</f>
        <v>-14</v>
      </c>
      <c r="C20" s="15">
        <f>SUM(C5:C19)</f>
        <v>8.125</v>
      </c>
      <c r="D20" s="15">
        <f>SUM(D5:D19)</f>
        <v>-0.12500000000000888</v>
      </c>
      <c r="E20" s="15">
        <f>SUM(E5:E19)</f>
        <v>-19</v>
      </c>
      <c r="F20" s="15">
        <f>SUM(F5:F19)</f>
        <v>-3</v>
      </c>
      <c r="G20" s="15">
        <f t="shared" si="0"/>
        <v>0</v>
      </c>
    </row>
  </sheetData>
  <phoneticPr fontId="1" type="noConversion"/>
  <conditionalFormatting sqref="B5:F20">
    <cfRule type="cellIs" dxfId="2" priority="1" operator="greaterThan">
      <formula>0</formula>
    </cfRule>
    <cfRule type="cellIs" dxfId="1" priority="2" operator="lessThan">
      <formula>0</formula>
    </cfRule>
  </conditionalFormatting>
  <conditionalFormatting sqref="G5:G20">
    <cfRule type="expression" dxfId="0" priority="3">
      <formula>G5&lt;&gt;0</formula>
    </cfRule>
  </conditionalFormatting>
  <pageMargins left="0.4" right="0.4" top="0.5" bottom="0.5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"/>
  <sheetViews>
    <sheetView workbookViewId="0"/>
  </sheetViews>
  <sheetFormatPr defaultRowHeight="17" x14ac:dyDescent="0.45"/>
  <sheetData>
    <row r="1" spans="1:16" x14ac:dyDescent="0.4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</row>
    <row r="2" spans="1:16" x14ac:dyDescent="0.45">
      <c r="A2" t="s">
        <v>61</v>
      </c>
      <c r="B2">
        <f>SUMIFS(Sheet1!D$4:D$1000,Sheet1!$A$4:$A$1000,"&gt;="&amp;Report_P1!$K$5,Sheet1!$A$4:$A$1000,"&lt;="&amp;Report_P1!$K$6,Sheet1!$B$4:$B$1000,"계획",Sheet1!$C$4:$C$1000,"판매량")</f>
        <v>16</v>
      </c>
      <c r="C2">
        <f>SUMIFS(Sheet1!E$4:E$1000,Sheet1!$A$4:$A$1000,"&gt;="&amp;Report_P1!$K$5,Sheet1!$A$4:$A$1000,"&lt;="&amp;Report_P1!$K$6,Sheet1!$B$4:$B$1000,"계획",Sheet1!$C$4:$C$1000,"판매량")</f>
        <v>16</v>
      </c>
      <c r="D2">
        <f>SUMIFS(Sheet1!F$4:F$1000,Sheet1!$A$4:$A$1000,"&gt;="&amp;Report_P1!$K$5,Sheet1!$A$4:$A$1000,"&lt;="&amp;Report_P1!$K$6,Sheet1!$B$4:$B$1000,"계획",Sheet1!$C$4:$C$1000,"판매량")</f>
        <v>16</v>
      </c>
      <c r="E2">
        <f>SUMIFS(Sheet1!G$4:G$1000,Sheet1!$A$4:$A$1000,"&gt;="&amp;Report_P1!$K$5,Sheet1!$A$4:$A$1000,"&lt;="&amp;Report_P1!$K$6,Sheet1!$B$4:$B$1000,"계획",Sheet1!$C$4:$C$1000,"판매량")</f>
        <v>8</v>
      </c>
      <c r="F2">
        <f>SUMIFS(Sheet1!H$4:H$1000,Sheet1!$A$4:$A$1000,"&gt;="&amp;Report_P1!$K$5,Sheet1!$A$4:$A$1000,"&lt;="&amp;Report_P1!$K$6,Sheet1!$B$4:$B$1000,"계획",Sheet1!$C$4:$C$1000,"판매량")</f>
        <v>16</v>
      </c>
      <c r="G2">
        <f>SUMIFS(Sheet1!I$4:I$1000,Sheet1!$A$4:$A$1000,"&gt;="&amp;Report_P1!$K$5,Sheet1!$A$4:$A$1000,"&lt;="&amp;Report_P1!$K$6,Sheet1!$B$4:$B$1000,"계획",Sheet1!$C$4:$C$1000,"판매량")</f>
        <v>16</v>
      </c>
      <c r="H2">
        <f>SUMIFS(Sheet1!J$4:J$1000,Sheet1!$A$4:$A$1000,"&gt;="&amp;Report_P1!$K$5,Sheet1!$A$4:$A$1000,"&lt;="&amp;Report_P1!$K$6,Sheet1!$B$4:$B$1000,"계획",Sheet1!$C$4:$C$1000,"판매량")</f>
        <v>16</v>
      </c>
      <c r="I2">
        <f>SUMIFS(Sheet1!K$4:K$1000,Sheet1!$A$4:$A$1000,"&gt;="&amp;Report_P1!$K$5,Sheet1!$A$4:$A$1000,"&lt;="&amp;Report_P1!$K$6,Sheet1!$B$4:$B$1000,"계획",Sheet1!$C$4:$C$1000,"판매량")</f>
        <v>16</v>
      </c>
      <c r="J2">
        <f>SUMIFS(Sheet1!L$4:L$1000,Sheet1!$A$4:$A$1000,"&gt;="&amp;Report_P1!$K$5,Sheet1!$A$4:$A$1000,"&lt;="&amp;Report_P1!$K$6,Sheet1!$B$4:$B$1000,"계획",Sheet1!$C$4:$C$1000,"판매량")</f>
        <v>16</v>
      </c>
      <c r="K2">
        <f>SUMIFS(Sheet1!M$4:M$1000,Sheet1!$A$4:$A$1000,"&gt;="&amp;Report_P1!$K$5,Sheet1!$A$4:$A$1000,"&lt;="&amp;Report_P1!$K$6,Sheet1!$B$4:$B$1000,"계획",Sheet1!$C$4:$C$1000,"판매량")</f>
        <v>16</v>
      </c>
      <c r="L2">
        <f>SUMIFS(Sheet1!N$4:N$1000,Sheet1!$A$4:$A$1000,"&gt;="&amp;Report_P1!$K$5,Sheet1!$A$4:$A$1000,"&lt;="&amp;Report_P1!$K$6,Sheet1!$B$4:$B$1000,"계획",Sheet1!$C$4:$C$1000,"판매량")</f>
        <v>16</v>
      </c>
      <c r="M2">
        <f>SUMIFS(Sheet1!O$4:O$1000,Sheet1!$A$4:$A$1000,"&gt;="&amp;Report_P1!$K$5,Sheet1!$A$4:$A$1000,"&lt;="&amp;Report_P1!$K$6,Sheet1!$B$4:$B$1000,"계획",Sheet1!$C$4:$C$1000,"판매량")</f>
        <v>16</v>
      </c>
      <c r="N2">
        <f>SUMIFS(Sheet1!P$4:P$1000,Sheet1!$A$4:$A$1000,"&gt;="&amp;Report_P1!$K$5,Sheet1!$A$4:$A$1000,"&lt;="&amp;Report_P1!$K$6,Sheet1!$B$4:$B$1000,"계획",Sheet1!$C$4:$C$1000,"판매량")</f>
        <v>16</v>
      </c>
      <c r="O2">
        <f>SUMIFS(Sheet1!Q$4:Q$1000,Sheet1!$A$4:$A$1000,"&gt;="&amp;Report_P1!$K$5,Sheet1!$A$4:$A$1000,"&lt;="&amp;Report_P1!$K$6,Sheet1!$B$4:$B$1000,"계획",Sheet1!$C$4:$C$1000,"판매량")</f>
        <v>16</v>
      </c>
      <c r="P2">
        <f>SUMIFS(Sheet1!R$4:R$1000,Sheet1!$A$4:$A$1000,"&gt;="&amp;Report_P1!$K$5,Sheet1!$A$4:$A$1000,"&lt;="&amp;Report_P1!$K$6,Sheet1!$B$4:$B$1000,"계획",Sheet1!$C$4:$C$1000,"판매량")</f>
        <v>16</v>
      </c>
    </row>
    <row r="3" spans="1:16" x14ac:dyDescent="0.45">
      <c r="A3" t="s">
        <v>62</v>
      </c>
      <c r="B3">
        <f>SUMIFS(Sheet1!D$4:D$1000,Sheet1!$A$4:$A$1000,"&gt;="&amp;Report_P1!$K$5,Sheet1!$A$4:$A$1000,"&lt;="&amp;Report_P1!$K$6,Sheet1!$B$4:$B$1000,"실적",Sheet1!$C$4:$C$1000,"판매량")</f>
        <v>17</v>
      </c>
      <c r="C3">
        <f>SUMIFS(Sheet1!E$4:E$1000,Sheet1!$A$4:$A$1000,"&gt;="&amp;Report_P1!$K$5,Sheet1!$A$4:$A$1000,"&lt;="&amp;Report_P1!$K$6,Sheet1!$B$4:$B$1000,"실적",Sheet1!$C$4:$C$1000,"판매량")</f>
        <v>17</v>
      </c>
      <c r="D3">
        <f>SUMIFS(Sheet1!F$4:F$1000,Sheet1!$A$4:$A$1000,"&gt;="&amp;Report_P1!$K$5,Sheet1!$A$4:$A$1000,"&lt;="&amp;Report_P1!$K$6,Sheet1!$B$4:$B$1000,"실적",Sheet1!$C$4:$C$1000,"판매량")</f>
        <v>17</v>
      </c>
      <c r="E3">
        <f>SUMIFS(Sheet1!G$4:G$1000,Sheet1!$A$4:$A$1000,"&gt;="&amp;Report_P1!$K$5,Sheet1!$A$4:$A$1000,"&lt;="&amp;Report_P1!$K$6,Sheet1!$B$4:$B$1000,"실적",Sheet1!$C$4:$C$1000,"판매량")</f>
        <v>8</v>
      </c>
      <c r="F3">
        <f>SUMIFS(Sheet1!H$4:H$1000,Sheet1!$A$4:$A$1000,"&gt;="&amp;Report_P1!$K$5,Sheet1!$A$4:$A$1000,"&lt;="&amp;Report_P1!$K$6,Sheet1!$B$4:$B$1000,"실적",Sheet1!$C$4:$C$1000,"판매량")</f>
        <v>12</v>
      </c>
      <c r="G3">
        <f>SUMIFS(Sheet1!I$4:I$1000,Sheet1!$A$4:$A$1000,"&gt;="&amp;Report_P1!$K$5,Sheet1!$A$4:$A$1000,"&lt;="&amp;Report_P1!$K$6,Sheet1!$B$4:$B$1000,"실적",Sheet1!$C$4:$C$1000,"판매량")</f>
        <v>12</v>
      </c>
      <c r="H3">
        <f>SUMIFS(Sheet1!J$4:J$1000,Sheet1!$A$4:$A$1000,"&gt;="&amp;Report_P1!$K$5,Sheet1!$A$4:$A$1000,"&lt;="&amp;Report_P1!$K$6,Sheet1!$B$4:$B$1000,"실적",Sheet1!$C$4:$C$1000,"판매량")</f>
        <v>12</v>
      </c>
      <c r="I3">
        <f>SUMIFS(Sheet1!K$4:K$1000,Sheet1!$A$4:$A$1000,"&gt;="&amp;Report_P1!$K$5,Sheet1!$A$4:$A$1000,"&lt;="&amp;Report_P1!$K$6,Sheet1!$B$4:$B$1000,"실적",Sheet1!$C$4:$C$1000,"판매량")</f>
        <v>18</v>
      </c>
      <c r="J3">
        <f>SUMIFS(Sheet1!L$4:L$1000,Sheet1!$A$4:$A$1000,"&gt;="&amp;Report_P1!$K$5,Sheet1!$A$4:$A$1000,"&lt;="&amp;Report_P1!$K$6,Sheet1!$B$4:$B$1000,"실적",Sheet1!$C$4:$C$1000,"판매량")</f>
        <v>18</v>
      </c>
      <c r="K3">
        <f>SUMIFS(Sheet1!M$4:M$1000,Sheet1!$A$4:$A$1000,"&gt;="&amp;Report_P1!$K$5,Sheet1!$A$4:$A$1000,"&lt;="&amp;Report_P1!$K$6,Sheet1!$B$4:$B$1000,"실적",Sheet1!$C$4:$C$1000,"판매량")</f>
        <v>0</v>
      </c>
      <c r="L3">
        <f>SUMIFS(Sheet1!N$4:N$1000,Sheet1!$A$4:$A$1000,"&gt;="&amp;Report_P1!$K$5,Sheet1!$A$4:$A$1000,"&lt;="&amp;Report_P1!$K$6,Sheet1!$B$4:$B$1000,"실적",Sheet1!$C$4:$C$1000,"판매량")</f>
        <v>18</v>
      </c>
      <c r="M3">
        <f>SUMIFS(Sheet1!O$4:O$1000,Sheet1!$A$4:$A$1000,"&gt;="&amp;Report_P1!$K$5,Sheet1!$A$4:$A$1000,"&lt;="&amp;Report_P1!$K$6,Sheet1!$B$4:$B$1000,"실적",Sheet1!$C$4:$C$1000,"판매량")</f>
        <v>24</v>
      </c>
      <c r="N3">
        <f>SUMIFS(Sheet1!P$4:P$1000,Sheet1!$A$4:$A$1000,"&gt;="&amp;Report_P1!$K$5,Sheet1!$A$4:$A$1000,"&lt;="&amp;Report_P1!$K$6,Sheet1!$B$4:$B$1000,"실적",Sheet1!$C$4:$C$1000,"판매량")</f>
        <v>24</v>
      </c>
      <c r="O3">
        <f>SUMIFS(Sheet1!Q$4:Q$1000,Sheet1!$A$4:$A$1000,"&gt;="&amp;Report_P1!$K$5,Sheet1!$A$4:$A$1000,"&lt;="&amp;Report_P1!$K$6,Sheet1!$B$4:$B$1000,"실적",Sheet1!$C$4:$C$1000,"판매량")</f>
        <v>24</v>
      </c>
      <c r="P3">
        <f>SUMIFS(Sheet1!R$4:R$1000,Sheet1!$A$4:$A$1000,"&gt;="&amp;Report_P1!$K$5,Sheet1!$A$4:$A$1000,"&lt;="&amp;Report_P1!$K$6,Sheet1!$B$4:$B$1000,"실적",Sheet1!$C$4:$C$1000,"판매량")</f>
        <v>24</v>
      </c>
    </row>
    <row r="4" spans="1:16" x14ac:dyDescent="0.45">
      <c r="A4" t="s">
        <v>63</v>
      </c>
      <c r="B4">
        <f>SUMIFS(Sheet1!D$4:D$1000,Sheet1!$A$4:$A$1000,"&gt;="&amp;Report_P1!$K$5,Sheet1!$A$4:$A$1000,"&lt;="&amp;Report_P1!$K$6,Sheet1!$B$4:$B$1000,"계획",Sheet1!$C$4:$C$1000,"매출액")</f>
        <v>16</v>
      </c>
      <c r="C4">
        <f>SUMIFS(Sheet1!E$4:E$1000,Sheet1!$A$4:$A$1000,"&gt;="&amp;Report_P1!$K$5,Sheet1!$A$4:$A$1000,"&lt;="&amp;Report_P1!$K$6,Sheet1!$B$4:$B$1000,"계획",Sheet1!$C$4:$C$1000,"매출액")</f>
        <v>16</v>
      </c>
      <c r="D4">
        <f>SUMIFS(Sheet1!F$4:F$1000,Sheet1!$A$4:$A$1000,"&gt;="&amp;Report_P1!$K$5,Sheet1!$A$4:$A$1000,"&lt;="&amp;Report_P1!$K$6,Sheet1!$B$4:$B$1000,"계획",Sheet1!$C$4:$C$1000,"매출액")</f>
        <v>16</v>
      </c>
      <c r="E4">
        <f>SUMIFS(Sheet1!G$4:G$1000,Sheet1!$A$4:$A$1000,"&gt;="&amp;Report_P1!$K$5,Sheet1!$A$4:$A$1000,"&lt;="&amp;Report_P1!$K$6,Sheet1!$B$4:$B$1000,"계획",Sheet1!$C$4:$C$1000,"매출액")</f>
        <v>8</v>
      </c>
      <c r="F4">
        <f>SUMIFS(Sheet1!H$4:H$1000,Sheet1!$A$4:$A$1000,"&gt;="&amp;Report_P1!$K$5,Sheet1!$A$4:$A$1000,"&lt;="&amp;Report_P1!$K$6,Sheet1!$B$4:$B$1000,"계획",Sheet1!$C$4:$C$1000,"매출액")</f>
        <v>16</v>
      </c>
      <c r="G4">
        <f>SUMIFS(Sheet1!I$4:I$1000,Sheet1!$A$4:$A$1000,"&gt;="&amp;Report_P1!$K$5,Sheet1!$A$4:$A$1000,"&lt;="&amp;Report_P1!$K$6,Sheet1!$B$4:$B$1000,"계획",Sheet1!$C$4:$C$1000,"매출액")</f>
        <v>16</v>
      </c>
      <c r="H4">
        <f>SUMIFS(Sheet1!J$4:J$1000,Sheet1!$A$4:$A$1000,"&gt;="&amp;Report_P1!$K$5,Sheet1!$A$4:$A$1000,"&lt;="&amp;Report_P1!$K$6,Sheet1!$B$4:$B$1000,"계획",Sheet1!$C$4:$C$1000,"매출액")</f>
        <v>16</v>
      </c>
      <c r="I4">
        <f>SUMIFS(Sheet1!K$4:K$1000,Sheet1!$A$4:$A$1000,"&gt;="&amp;Report_P1!$K$5,Sheet1!$A$4:$A$1000,"&lt;="&amp;Report_P1!$K$6,Sheet1!$B$4:$B$1000,"계획",Sheet1!$C$4:$C$1000,"매출액")</f>
        <v>16</v>
      </c>
      <c r="J4">
        <f>SUMIFS(Sheet1!L$4:L$1000,Sheet1!$A$4:$A$1000,"&gt;="&amp;Report_P1!$K$5,Sheet1!$A$4:$A$1000,"&lt;="&amp;Report_P1!$K$6,Sheet1!$B$4:$B$1000,"계획",Sheet1!$C$4:$C$1000,"매출액")</f>
        <v>16</v>
      </c>
      <c r="K4">
        <f>SUMIFS(Sheet1!M$4:M$1000,Sheet1!$A$4:$A$1000,"&gt;="&amp;Report_P1!$K$5,Sheet1!$A$4:$A$1000,"&lt;="&amp;Report_P1!$K$6,Sheet1!$B$4:$B$1000,"계획",Sheet1!$C$4:$C$1000,"매출액")</f>
        <v>16</v>
      </c>
      <c r="L4">
        <f>SUMIFS(Sheet1!N$4:N$1000,Sheet1!$A$4:$A$1000,"&gt;="&amp;Report_P1!$K$5,Sheet1!$A$4:$A$1000,"&lt;="&amp;Report_P1!$K$6,Sheet1!$B$4:$B$1000,"계획",Sheet1!$C$4:$C$1000,"매출액")</f>
        <v>16</v>
      </c>
      <c r="M4">
        <f>SUMIFS(Sheet1!O$4:O$1000,Sheet1!$A$4:$A$1000,"&gt;="&amp;Report_P1!$K$5,Sheet1!$A$4:$A$1000,"&lt;="&amp;Report_P1!$K$6,Sheet1!$B$4:$B$1000,"계획",Sheet1!$C$4:$C$1000,"매출액")</f>
        <v>16</v>
      </c>
      <c r="N4">
        <f>SUMIFS(Sheet1!P$4:P$1000,Sheet1!$A$4:$A$1000,"&gt;="&amp;Report_P1!$K$5,Sheet1!$A$4:$A$1000,"&lt;="&amp;Report_P1!$K$6,Sheet1!$B$4:$B$1000,"계획",Sheet1!$C$4:$C$1000,"매출액")</f>
        <v>16</v>
      </c>
      <c r="O4">
        <f>SUMIFS(Sheet1!Q$4:Q$1000,Sheet1!$A$4:$A$1000,"&gt;="&amp;Report_P1!$K$5,Sheet1!$A$4:$A$1000,"&lt;="&amp;Report_P1!$K$6,Sheet1!$B$4:$B$1000,"계획",Sheet1!$C$4:$C$1000,"매출액")</f>
        <v>16</v>
      </c>
      <c r="P4">
        <f>SUMIFS(Sheet1!R$4:R$1000,Sheet1!$A$4:$A$1000,"&gt;="&amp;Report_P1!$K$5,Sheet1!$A$4:$A$1000,"&lt;="&amp;Report_P1!$K$6,Sheet1!$B$4:$B$1000,"계획",Sheet1!$C$4:$C$1000,"매출액")</f>
        <v>16</v>
      </c>
    </row>
    <row r="5" spans="1:16" x14ac:dyDescent="0.45">
      <c r="A5" t="s">
        <v>64</v>
      </c>
      <c r="B5">
        <f>SUMIFS(Sheet1!D$4:D$1000,Sheet1!$A$4:$A$1000,"&gt;="&amp;Report_P1!$K$5,Sheet1!$A$4:$A$1000,"&lt;="&amp;Report_P1!$K$6,Sheet1!$B$4:$B$1000,"실적",Sheet1!$C$4:$C$1000,"매출액")</f>
        <v>14</v>
      </c>
      <c r="C5">
        <f>SUMIFS(Sheet1!E$4:E$1000,Sheet1!$A$4:$A$1000,"&gt;="&amp;Report_P1!$K$5,Sheet1!$A$4:$A$1000,"&lt;="&amp;Report_P1!$K$6,Sheet1!$B$4:$B$1000,"실적",Sheet1!$C$4:$C$1000,"매출액")</f>
        <v>14</v>
      </c>
      <c r="D5">
        <f>SUMIFS(Sheet1!F$4:F$1000,Sheet1!$A$4:$A$1000,"&gt;="&amp;Report_P1!$K$5,Sheet1!$A$4:$A$1000,"&lt;="&amp;Report_P1!$K$6,Sheet1!$B$4:$B$1000,"실적",Sheet1!$C$4:$C$1000,"매출액")</f>
        <v>14</v>
      </c>
      <c r="E5">
        <f>SUMIFS(Sheet1!G$4:G$1000,Sheet1!$A$4:$A$1000,"&gt;="&amp;Report_P1!$K$5,Sheet1!$A$4:$A$1000,"&lt;="&amp;Report_P1!$K$6,Sheet1!$B$4:$B$1000,"실적",Sheet1!$C$4:$C$1000,"매출액")</f>
        <v>8</v>
      </c>
      <c r="F5">
        <f>SUMIFS(Sheet1!H$4:H$1000,Sheet1!$A$4:$A$1000,"&gt;="&amp;Report_P1!$K$5,Sheet1!$A$4:$A$1000,"&lt;="&amp;Report_P1!$K$6,Sheet1!$B$4:$B$1000,"실적",Sheet1!$C$4:$C$1000,"매출액")</f>
        <v>18</v>
      </c>
      <c r="G5">
        <f>SUMIFS(Sheet1!I$4:I$1000,Sheet1!$A$4:$A$1000,"&gt;="&amp;Report_P1!$K$5,Sheet1!$A$4:$A$1000,"&lt;="&amp;Report_P1!$K$6,Sheet1!$B$4:$B$1000,"실적",Sheet1!$C$4:$C$1000,"매출액")</f>
        <v>18</v>
      </c>
      <c r="H5">
        <f>SUMIFS(Sheet1!J$4:J$1000,Sheet1!$A$4:$A$1000,"&gt;="&amp;Report_P1!$K$5,Sheet1!$A$4:$A$1000,"&lt;="&amp;Report_P1!$K$6,Sheet1!$B$4:$B$1000,"실적",Sheet1!$C$4:$C$1000,"매출액")</f>
        <v>18</v>
      </c>
      <c r="I5">
        <f>SUMIFS(Sheet1!K$4:K$1000,Sheet1!$A$4:$A$1000,"&gt;="&amp;Report_P1!$K$5,Sheet1!$A$4:$A$1000,"&lt;="&amp;Report_P1!$K$6,Sheet1!$B$4:$B$1000,"실적",Sheet1!$C$4:$C$1000,"매출액")</f>
        <v>16</v>
      </c>
      <c r="J5">
        <f>SUMIFS(Sheet1!L$4:L$1000,Sheet1!$A$4:$A$1000,"&gt;="&amp;Report_P1!$K$5,Sheet1!$A$4:$A$1000,"&lt;="&amp;Report_P1!$K$6,Sheet1!$B$4:$B$1000,"실적",Sheet1!$C$4:$C$1000,"매출액")</f>
        <v>16</v>
      </c>
      <c r="K5">
        <f>SUMIFS(Sheet1!M$4:M$1000,Sheet1!$A$4:$A$1000,"&gt;="&amp;Report_P1!$K$5,Sheet1!$A$4:$A$1000,"&lt;="&amp;Report_P1!$K$6,Sheet1!$B$4:$B$1000,"실적",Sheet1!$C$4:$C$1000,"매출액")</f>
        <v>0</v>
      </c>
      <c r="L5">
        <f>SUMIFS(Sheet1!N$4:N$1000,Sheet1!$A$4:$A$1000,"&gt;="&amp;Report_P1!$K$5,Sheet1!$A$4:$A$1000,"&lt;="&amp;Report_P1!$K$6,Sheet1!$B$4:$B$1000,"실적",Sheet1!$C$4:$C$1000,"매출액")</f>
        <v>16</v>
      </c>
      <c r="M5">
        <f>SUMIFS(Sheet1!O$4:O$1000,Sheet1!$A$4:$A$1000,"&gt;="&amp;Report_P1!$K$5,Sheet1!$A$4:$A$1000,"&lt;="&amp;Report_P1!$K$6,Sheet1!$B$4:$B$1000,"실적",Sheet1!$C$4:$C$1000,"매출액")</f>
        <v>36</v>
      </c>
      <c r="N5">
        <f>SUMIFS(Sheet1!P$4:P$1000,Sheet1!$A$4:$A$1000,"&gt;="&amp;Report_P1!$K$5,Sheet1!$A$4:$A$1000,"&lt;="&amp;Report_P1!$K$6,Sheet1!$B$4:$B$1000,"실적",Sheet1!$C$4:$C$1000,"매출액")</f>
        <v>36</v>
      </c>
      <c r="O5">
        <f>SUMIFS(Sheet1!Q$4:Q$1000,Sheet1!$A$4:$A$1000,"&gt;="&amp;Report_P1!$K$5,Sheet1!$A$4:$A$1000,"&lt;="&amp;Report_P1!$K$6,Sheet1!$B$4:$B$1000,"실적",Sheet1!$C$4:$C$1000,"매출액")</f>
        <v>36</v>
      </c>
      <c r="P5">
        <f>SUMIFS(Sheet1!R$4:R$1000,Sheet1!$A$4:$A$1000,"&gt;="&amp;Report_P1!$K$5,Sheet1!$A$4:$A$1000,"&lt;="&amp;Report_P1!$K$6,Sheet1!$B$4:$B$1000,"실적",Sheet1!$C$4:$C$1000,"매출액")</f>
        <v>36</v>
      </c>
    </row>
    <row r="6" spans="1:16" x14ac:dyDescent="0.45">
      <c r="A6" t="s">
        <v>65</v>
      </c>
      <c r="B6">
        <f>SUMIFS(Sheet1!D$4:D$1000,Sheet1!$A$4:$A$1000,"&gt;="&amp;Report_P1!$K$5,Sheet1!$A$4:$A$1000,"&lt;="&amp;Report_P1!$K$6,Sheet1!$B$4:$B$1000,"계획",Sheet1!$C$4:$C$1000," - 재료비")</f>
        <v>6</v>
      </c>
      <c r="C6">
        <f>SUMIFS(Sheet1!E$4:E$1000,Sheet1!$A$4:$A$1000,"&gt;="&amp;Report_P1!$K$5,Sheet1!$A$4:$A$1000,"&lt;="&amp;Report_P1!$K$6,Sheet1!$B$4:$B$1000,"계획",Sheet1!$C$4:$C$1000," - 재료비")</f>
        <v>6</v>
      </c>
      <c r="D6">
        <f>SUMIFS(Sheet1!F$4:F$1000,Sheet1!$A$4:$A$1000,"&gt;="&amp;Report_P1!$K$5,Sheet1!$A$4:$A$1000,"&lt;="&amp;Report_P1!$K$6,Sheet1!$B$4:$B$1000,"계획",Sheet1!$C$4:$C$1000," - 재료비")</f>
        <v>6</v>
      </c>
      <c r="E6">
        <f>SUMIFS(Sheet1!G$4:G$1000,Sheet1!$A$4:$A$1000,"&gt;="&amp;Report_P1!$K$5,Sheet1!$A$4:$A$1000,"&lt;="&amp;Report_P1!$K$6,Sheet1!$B$4:$B$1000,"계획",Sheet1!$C$4:$C$1000," - 재료비")</f>
        <v>6</v>
      </c>
      <c r="F6">
        <f>SUMIFS(Sheet1!H$4:H$1000,Sheet1!$A$4:$A$1000,"&gt;="&amp;Report_P1!$K$5,Sheet1!$A$4:$A$1000,"&lt;="&amp;Report_P1!$K$6,Sheet1!$B$4:$B$1000,"계획",Sheet1!$C$4:$C$1000," - 재료비")</f>
        <v>6</v>
      </c>
      <c r="G6">
        <f>SUMIFS(Sheet1!I$4:I$1000,Sheet1!$A$4:$A$1000,"&gt;="&amp;Report_P1!$K$5,Sheet1!$A$4:$A$1000,"&lt;="&amp;Report_P1!$K$6,Sheet1!$B$4:$B$1000,"계획",Sheet1!$C$4:$C$1000," - 재료비")</f>
        <v>6</v>
      </c>
      <c r="H6">
        <f>SUMIFS(Sheet1!J$4:J$1000,Sheet1!$A$4:$A$1000,"&gt;="&amp;Report_P1!$K$5,Sheet1!$A$4:$A$1000,"&lt;="&amp;Report_P1!$K$6,Sheet1!$B$4:$B$1000,"계획",Sheet1!$C$4:$C$1000," - 재료비")</f>
        <v>6</v>
      </c>
      <c r="I6">
        <f>SUMIFS(Sheet1!K$4:K$1000,Sheet1!$A$4:$A$1000,"&gt;="&amp;Report_P1!$K$5,Sheet1!$A$4:$A$1000,"&lt;="&amp;Report_P1!$K$6,Sheet1!$B$4:$B$1000,"계획",Sheet1!$C$4:$C$1000," - 재료비")</f>
        <v>6</v>
      </c>
      <c r="J6">
        <f>SUMIFS(Sheet1!L$4:L$1000,Sheet1!$A$4:$A$1000,"&gt;="&amp;Report_P1!$K$5,Sheet1!$A$4:$A$1000,"&lt;="&amp;Report_P1!$K$6,Sheet1!$B$4:$B$1000,"계획",Sheet1!$C$4:$C$1000," - 재료비")</f>
        <v>6</v>
      </c>
      <c r="K6">
        <f>SUMIFS(Sheet1!M$4:M$1000,Sheet1!$A$4:$A$1000,"&gt;="&amp;Report_P1!$K$5,Sheet1!$A$4:$A$1000,"&lt;="&amp;Report_P1!$K$6,Sheet1!$B$4:$B$1000,"계획",Sheet1!$C$4:$C$1000," - 재료비")</f>
        <v>6</v>
      </c>
      <c r="L6">
        <f>SUMIFS(Sheet1!N$4:N$1000,Sheet1!$A$4:$A$1000,"&gt;="&amp;Report_P1!$K$5,Sheet1!$A$4:$A$1000,"&lt;="&amp;Report_P1!$K$6,Sheet1!$B$4:$B$1000,"계획",Sheet1!$C$4:$C$1000," - 재료비")</f>
        <v>6</v>
      </c>
      <c r="M6">
        <f>SUMIFS(Sheet1!O$4:O$1000,Sheet1!$A$4:$A$1000,"&gt;="&amp;Report_P1!$K$5,Sheet1!$A$4:$A$1000,"&lt;="&amp;Report_P1!$K$6,Sheet1!$B$4:$B$1000,"계획",Sheet1!$C$4:$C$1000," - 재료비")</f>
        <v>6</v>
      </c>
      <c r="N6">
        <f>SUMIFS(Sheet1!P$4:P$1000,Sheet1!$A$4:$A$1000,"&gt;="&amp;Report_P1!$K$5,Sheet1!$A$4:$A$1000,"&lt;="&amp;Report_P1!$K$6,Sheet1!$B$4:$B$1000,"계획",Sheet1!$C$4:$C$1000," - 재료비")</f>
        <v>6</v>
      </c>
      <c r="O6">
        <f>SUMIFS(Sheet1!Q$4:Q$1000,Sheet1!$A$4:$A$1000,"&gt;="&amp;Report_P1!$K$5,Sheet1!$A$4:$A$1000,"&lt;="&amp;Report_P1!$K$6,Sheet1!$B$4:$B$1000,"계획",Sheet1!$C$4:$C$1000," - 재료비")</f>
        <v>6</v>
      </c>
      <c r="P6">
        <f>SUMIFS(Sheet1!R$4:R$1000,Sheet1!$A$4:$A$1000,"&gt;="&amp;Report_P1!$K$5,Sheet1!$A$4:$A$1000,"&lt;="&amp;Report_P1!$K$6,Sheet1!$B$4:$B$1000,"계획",Sheet1!$C$4:$C$1000," - 재료비")</f>
        <v>6</v>
      </c>
    </row>
    <row r="7" spans="1:16" x14ac:dyDescent="0.45">
      <c r="A7" t="s">
        <v>66</v>
      </c>
      <c r="B7">
        <f>SUMIFS(Sheet1!D$4:D$1000,Sheet1!$A$4:$A$1000,"&gt;="&amp;Report_P1!$K$5,Sheet1!$A$4:$A$1000,"&lt;="&amp;Report_P1!$K$6,Sheet1!$B$4:$B$1000,"실적",Sheet1!$C$4:$C$1000," - 재료비")</f>
        <v>3</v>
      </c>
      <c r="C7">
        <f>SUMIFS(Sheet1!E$4:E$1000,Sheet1!$A$4:$A$1000,"&gt;="&amp;Report_P1!$K$5,Sheet1!$A$4:$A$1000,"&lt;="&amp;Report_P1!$K$6,Sheet1!$B$4:$B$1000,"실적",Sheet1!$C$4:$C$1000," - 재료비")</f>
        <v>3</v>
      </c>
      <c r="D7">
        <f>SUMIFS(Sheet1!F$4:F$1000,Sheet1!$A$4:$A$1000,"&gt;="&amp;Report_P1!$K$5,Sheet1!$A$4:$A$1000,"&lt;="&amp;Report_P1!$K$6,Sheet1!$B$4:$B$1000,"실적",Sheet1!$C$4:$C$1000," - 재료비")</f>
        <v>3</v>
      </c>
      <c r="E7">
        <f>SUMIFS(Sheet1!G$4:G$1000,Sheet1!$A$4:$A$1000,"&gt;="&amp;Report_P1!$K$5,Sheet1!$A$4:$A$1000,"&lt;="&amp;Report_P1!$K$6,Sheet1!$B$4:$B$1000,"실적",Sheet1!$C$4:$C$1000," - 재료비")</f>
        <v>6</v>
      </c>
      <c r="F7">
        <f>SUMIFS(Sheet1!H$4:H$1000,Sheet1!$A$4:$A$1000,"&gt;="&amp;Report_P1!$K$5,Sheet1!$A$4:$A$1000,"&lt;="&amp;Report_P1!$K$6,Sheet1!$B$4:$B$1000,"실적",Sheet1!$C$4:$C$1000," - 재료비")</f>
        <v>9</v>
      </c>
      <c r="G7">
        <f>SUMIFS(Sheet1!I$4:I$1000,Sheet1!$A$4:$A$1000,"&gt;="&amp;Report_P1!$K$5,Sheet1!$A$4:$A$1000,"&lt;="&amp;Report_P1!$K$6,Sheet1!$B$4:$B$1000,"실적",Sheet1!$C$4:$C$1000," - 재료비")</f>
        <v>9</v>
      </c>
      <c r="H7">
        <f>SUMIFS(Sheet1!J$4:J$1000,Sheet1!$A$4:$A$1000,"&gt;="&amp;Report_P1!$K$5,Sheet1!$A$4:$A$1000,"&lt;="&amp;Report_P1!$K$6,Sheet1!$B$4:$B$1000,"실적",Sheet1!$C$4:$C$1000," - 재료비")</f>
        <v>9</v>
      </c>
      <c r="I7">
        <f>SUMIFS(Sheet1!K$4:K$1000,Sheet1!$A$4:$A$1000,"&gt;="&amp;Report_P1!$K$5,Sheet1!$A$4:$A$1000,"&lt;="&amp;Report_P1!$K$6,Sheet1!$B$4:$B$1000,"실적",Sheet1!$C$4:$C$1000," - 재료비")</f>
        <v>8</v>
      </c>
      <c r="J7">
        <f>SUMIFS(Sheet1!L$4:L$1000,Sheet1!$A$4:$A$1000,"&gt;="&amp;Report_P1!$K$5,Sheet1!$A$4:$A$1000,"&lt;="&amp;Report_P1!$K$6,Sheet1!$B$4:$B$1000,"실적",Sheet1!$C$4:$C$1000," - 재료비")</f>
        <v>8</v>
      </c>
      <c r="K7">
        <f>SUMIFS(Sheet1!M$4:M$1000,Sheet1!$A$4:$A$1000,"&gt;="&amp;Report_P1!$K$5,Sheet1!$A$4:$A$1000,"&lt;="&amp;Report_P1!$K$6,Sheet1!$B$4:$B$1000,"실적",Sheet1!$C$4:$C$1000," - 재료비")</f>
        <v>0</v>
      </c>
      <c r="L7">
        <f>SUMIFS(Sheet1!N$4:N$1000,Sheet1!$A$4:$A$1000,"&gt;="&amp;Report_P1!$K$5,Sheet1!$A$4:$A$1000,"&lt;="&amp;Report_P1!$K$6,Sheet1!$B$4:$B$1000,"실적",Sheet1!$C$4:$C$1000," - 재료비")</f>
        <v>8</v>
      </c>
      <c r="M7">
        <f>SUMIFS(Sheet1!O$4:O$1000,Sheet1!$A$4:$A$1000,"&gt;="&amp;Report_P1!$K$5,Sheet1!$A$4:$A$1000,"&lt;="&amp;Report_P1!$K$6,Sheet1!$B$4:$B$1000,"실적",Sheet1!$C$4:$C$1000," - 재료비")</f>
        <v>20</v>
      </c>
      <c r="N7">
        <f>SUMIFS(Sheet1!P$4:P$1000,Sheet1!$A$4:$A$1000,"&gt;="&amp;Report_P1!$K$5,Sheet1!$A$4:$A$1000,"&lt;="&amp;Report_P1!$K$6,Sheet1!$B$4:$B$1000,"실적",Sheet1!$C$4:$C$1000," - 재료비")</f>
        <v>20</v>
      </c>
      <c r="O7">
        <f>SUMIFS(Sheet1!Q$4:Q$1000,Sheet1!$A$4:$A$1000,"&gt;="&amp;Report_P1!$K$5,Sheet1!$A$4:$A$1000,"&lt;="&amp;Report_P1!$K$6,Sheet1!$B$4:$B$1000,"실적",Sheet1!$C$4:$C$1000," - 재료비")</f>
        <v>20</v>
      </c>
      <c r="P7">
        <f>SUMIFS(Sheet1!R$4:R$1000,Sheet1!$A$4:$A$1000,"&gt;="&amp;Report_P1!$K$5,Sheet1!$A$4:$A$1000,"&lt;="&amp;Report_P1!$K$6,Sheet1!$B$4:$B$1000,"실적",Sheet1!$C$4:$C$1000," - 재료비")</f>
        <v>20</v>
      </c>
    </row>
    <row r="8" spans="1:16" x14ac:dyDescent="0.45">
      <c r="A8" t="s">
        <v>67</v>
      </c>
      <c r="B8">
        <f>SUMIFS(Sheet1!D$4:D$1000,Sheet1!$A$4:$A$1000,"&gt;="&amp;Report_P1!$K$5,Sheet1!$A$4:$A$1000,"&lt;="&amp;Report_P1!$K$6,Sheet1!$B$4:$B$1000,"계획",Sheet1!$C$4:$C$1000," - 노무비")</f>
        <v>2</v>
      </c>
      <c r="C8">
        <f>SUMIFS(Sheet1!E$4:E$1000,Sheet1!$A$4:$A$1000,"&gt;="&amp;Report_P1!$K$5,Sheet1!$A$4:$A$1000,"&lt;="&amp;Report_P1!$K$6,Sheet1!$B$4:$B$1000,"계획",Sheet1!$C$4:$C$1000," - 노무비")</f>
        <v>2</v>
      </c>
      <c r="D8">
        <f>SUMIFS(Sheet1!F$4:F$1000,Sheet1!$A$4:$A$1000,"&gt;="&amp;Report_P1!$K$5,Sheet1!$A$4:$A$1000,"&lt;="&amp;Report_P1!$K$6,Sheet1!$B$4:$B$1000,"계획",Sheet1!$C$4:$C$1000," - 노무비")</f>
        <v>2</v>
      </c>
      <c r="E8">
        <f>SUMIFS(Sheet1!G$4:G$1000,Sheet1!$A$4:$A$1000,"&gt;="&amp;Report_P1!$K$5,Sheet1!$A$4:$A$1000,"&lt;="&amp;Report_P1!$K$6,Sheet1!$B$4:$B$1000,"계획",Sheet1!$C$4:$C$1000," - 노무비")</f>
        <v>0</v>
      </c>
      <c r="F8">
        <f>SUMIFS(Sheet1!H$4:H$1000,Sheet1!$A$4:$A$1000,"&gt;="&amp;Report_P1!$K$5,Sheet1!$A$4:$A$1000,"&lt;="&amp;Report_P1!$K$6,Sheet1!$B$4:$B$1000,"계획",Sheet1!$C$4:$C$1000," - 노무비")</f>
        <v>2</v>
      </c>
      <c r="G8">
        <f>SUMIFS(Sheet1!I$4:I$1000,Sheet1!$A$4:$A$1000,"&gt;="&amp;Report_P1!$K$5,Sheet1!$A$4:$A$1000,"&lt;="&amp;Report_P1!$K$6,Sheet1!$B$4:$B$1000,"계획",Sheet1!$C$4:$C$1000," - 노무비")</f>
        <v>2</v>
      </c>
      <c r="H8">
        <f>SUMIFS(Sheet1!J$4:J$1000,Sheet1!$A$4:$A$1000,"&gt;="&amp;Report_P1!$K$5,Sheet1!$A$4:$A$1000,"&lt;="&amp;Report_P1!$K$6,Sheet1!$B$4:$B$1000,"계획",Sheet1!$C$4:$C$1000," - 노무비")</f>
        <v>2</v>
      </c>
      <c r="I8">
        <f>SUMIFS(Sheet1!K$4:K$1000,Sheet1!$A$4:$A$1000,"&gt;="&amp;Report_P1!$K$5,Sheet1!$A$4:$A$1000,"&lt;="&amp;Report_P1!$K$6,Sheet1!$B$4:$B$1000,"계획",Sheet1!$C$4:$C$1000," - 노무비")</f>
        <v>2</v>
      </c>
      <c r="J8">
        <f>SUMIFS(Sheet1!L$4:L$1000,Sheet1!$A$4:$A$1000,"&gt;="&amp;Report_P1!$K$5,Sheet1!$A$4:$A$1000,"&lt;="&amp;Report_P1!$K$6,Sheet1!$B$4:$B$1000,"계획",Sheet1!$C$4:$C$1000," - 노무비")</f>
        <v>2</v>
      </c>
      <c r="K8">
        <f>SUMIFS(Sheet1!M$4:M$1000,Sheet1!$A$4:$A$1000,"&gt;="&amp;Report_P1!$K$5,Sheet1!$A$4:$A$1000,"&lt;="&amp;Report_P1!$K$6,Sheet1!$B$4:$B$1000,"계획",Sheet1!$C$4:$C$1000," - 노무비")</f>
        <v>2</v>
      </c>
      <c r="L8">
        <f>SUMIFS(Sheet1!N$4:N$1000,Sheet1!$A$4:$A$1000,"&gt;="&amp;Report_P1!$K$5,Sheet1!$A$4:$A$1000,"&lt;="&amp;Report_P1!$K$6,Sheet1!$B$4:$B$1000,"계획",Sheet1!$C$4:$C$1000," - 노무비")</f>
        <v>2</v>
      </c>
      <c r="M8">
        <f>SUMIFS(Sheet1!O$4:O$1000,Sheet1!$A$4:$A$1000,"&gt;="&amp;Report_P1!$K$5,Sheet1!$A$4:$A$1000,"&lt;="&amp;Report_P1!$K$6,Sheet1!$B$4:$B$1000,"계획",Sheet1!$C$4:$C$1000," - 노무비")</f>
        <v>2</v>
      </c>
      <c r="N8">
        <f>SUMIFS(Sheet1!P$4:P$1000,Sheet1!$A$4:$A$1000,"&gt;="&amp;Report_P1!$K$5,Sheet1!$A$4:$A$1000,"&lt;="&amp;Report_P1!$K$6,Sheet1!$B$4:$B$1000,"계획",Sheet1!$C$4:$C$1000," - 노무비")</f>
        <v>2</v>
      </c>
      <c r="O8">
        <f>SUMIFS(Sheet1!Q$4:Q$1000,Sheet1!$A$4:$A$1000,"&gt;="&amp;Report_P1!$K$5,Sheet1!$A$4:$A$1000,"&lt;="&amp;Report_P1!$K$6,Sheet1!$B$4:$B$1000,"계획",Sheet1!$C$4:$C$1000," - 노무비")</f>
        <v>2</v>
      </c>
      <c r="P8">
        <f>SUMIFS(Sheet1!R$4:R$1000,Sheet1!$A$4:$A$1000,"&gt;="&amp;Report_P1!$K$5,Sheet1!$A$4:$A$1000,"&lt;="&amp;Report_P1!$K$6,Sheet1!$B$4:$B$1000,"계획",Sheet1!$C$4:$C$1000," - 노무비")</f>
        <v>2</v>
      </c>
    </row>
    <row r="9" spans="1:16" x14ac:dyDescent="0.45">
      <c r="A9" t="s">
        <v>68</v>
      </c>
      <c r="B9">
        <f>SUMIFS(Sheet1!D$4:D$1000,Sheet1!$A$4:$A$1000,"&gt;="&amp;Report_P1!$K$5,Sheet1!$A$4:$A$1000,"&lt;="&amp;Report_P1!$K$6,Sheet1!$B$4:$B$1000,"실적",Sheet1!$C$4:$C$1000," - 노무비")</f>
        <v>2</v>
      </c>
      <c r="C9">
        <f>SUMIFS(Sheet1!E$4:E$1000,Sheet1!$A$4:$A$1000,"&gt;="&amp;Report_P1!$K$5,Sheet1!$A$4:$A$1000,"&lt;="&amp;Report_P1!$K$6,Sheet1!$B$4:$B$1000,"실적",Sheet1!$C$4:$C$1000," - 노무비")</f>
        <v>2</v>
      </c>
      <c r="D9">
        <f>SUMIFS(Sheet1!F$4:F$1000,Sheet1!$A$4:$A$1000,"&gt;="&amp;Report_P1!$K$5,Sheet1!$A$4:$A$1000,"&lt;="&amp;Report_P1!$K$6,Sheet1!$B$4:$B$1000,"실적",Sheet1!$C$4:$C$1000," - 노무비")</f>
        <v>2</v>
      </c>
      <c r="E9">
        <f>SUMIFS(Sheet1!G$4:G$1000,Sheet1!$A$4:$A$1000,"&gt;="&amp;Report_P1!$K$5,Sheet1!$A$4:$A$1000,"&lt;="&amp;Report_P1!$K$6,Sheet1!$B$4:$B$1000,"실적",Sheet1!$C$4:$C$1000," - 노무비")</f>
        <v>0</v>
      </c>
      <c r="F9">
        <f>SUMIFS(Sheet1!H$4:H$1000,Sheet1!$A$4:$A$1000,"&gt;="&amp;Report_P1!$K$5,Sheet1!$A$4:$A$1000,"&lt;="&amp;Report_P1!$K$6,Sheet1!$B$4:$B$1000,"실적",Sheet1!$C$4:$C$1000," - 노무비")</f>
        <v>2</v>
      </c>
      <c r="G9">
        <f>SUMIFS(Sheet1!I$4:I$1000,Sheet1!$A$4:$A$1000,"&gt;="&amp;Report_P1!$K$5,Sheet1!$A$4:$A$1000,"&lt;="&amp;Report_P1!$K$6,Sheet1!$B$4:$B$1000,"실적",Sheet1!$C$4:$C$1000," - 노무비")</f>
        <v>2</v>
      </c>
      <c r="H9">
        <f>SUMIFS(Sheet1!J$4:J$1000,Sheet1!$A$4:$A$1000,"&gt;="&amp;Report_P1!$K$5,Sheet1!$A$4:$A$1000,"&lt;="&amp;Report_P1!$K$6,Sheet1!$B$4:$B$1000,"실적",Sheet1!$C$4:$C$1000," - 노무비")</f>
        <v>2</v>
      </c>
      <c r="I9">
        <f>SUMIFS(Sheet1!K$4:K$1000,Sheet1!$A$4:$A$1000,"&gt;="&amp;Report_P1!$K$5,Sheet1!$A$4:$A$1000,"&lt;="&amp;Report_P1!$K$6,Sheet1!$B$4:$B$1000,"실적",Sheet1!$C$4:$C$1000," - 노무비")</f>
        <v>2</v>
      </c>
      <c r="J9">
        <f>SUMIFS(Sheet1!L$4:L$1000,Sheet1!$A$4:$A$1000,"&gt;="&amp;Report_P1!$K$5,Sheet1!$A$4:$A$1000,"&lt;="&amp;Report_P1!$K$6,Sheet1!$B$4:$B$1000,"실적",Sheet1!$C$4:$C$1000," - 노무비")</f>
        <v>2</v>
      </c>
      <c r="K9">
        <f>SUMIFS(Sheet1!M$4:M$1000,Sheet1!$A$4:$A$1000,"&gt;="&amp;Report_P1!$K$5,Sheet1!$A$4:$A$1000,"&lt;="&amp;Report_P1!$K$6,Sheet1!$B$4:$B$1000,"실적",Sheet1!$C$4:$C$1000," - 노무비")</f>
        <v>0</v>
      </c>
      <c r="L9">
        <f>SUMIFS(Sheet1!N$4:N$1000,Sheet1!$A$4:$A$1000,"&gt;="&amp;Report_P1!$K$5,Sheet1!$A$4:$A$1000,"&lt;="&amp;Report_P1!$K$6,Sheet1!$B$4:$B$1000,"실적",Sheet1!$C$4:$C$1000," - 노무비")</f>
        <v>2</v>
      </c>
      <c r="M9">
        <f>SUMIFS(Sheet1!O$4:O$1000,Sheet1!$A$4:$A$1000,"&gt;="&amp;Report_P1!$K$5,Sheet1!$A$4:$A$1000,"&lt;="&amp;Report_P1!$K$6,Sheet1!$B$4:$B$1000,"실적",Sheet1!$C$4:$C$1000," - 노무비")</f>
        <v>2</v>
      </c>
      <c r="N9">
        <f>SUMIFS(Sheet1!P$4:P$1000,Sheet1!$A$4:$A$1000,"&gt;="&amp;Report_P1!$K$5,Sheet1!$A$4:$A$1000,"&lt;="&amp;Report_P1!$K$6,Sheet1!$B$4:$B$1000,"실적",Sheet1!$C$4:$C$1000," - 노무비")</f>
        <v>2</v>
      </c>
      <c r="O9">
        <f>SUMIFS(Sheet1!Q$4:Q$1000,Sheet1!$A$4:$A$1000,"&gt;="&amp;Report_P1!$K$5,Sheet1!$A$4:$A$1000,"&lt;="&amp;Report_P1!$K$6,Sheet1!$B$4:$B$1000,"실적",Sheet1!$C$4:$C$1000," - 노무비")</f>
        <v>2</v>
      </c>
      <c r="P9">
        <f>SUMIFS(Sheet1!R$4:R$1000,Sheet1!$A$4:$A$1000,"&gt;="&amp;Report_P1!$K$5,Sheet1!$A$4:$A$1000,"&lt;="&amp;Report_P1!$K$6,Sheet1!$B$4:$B$1000,"실적",Sheet1!$C$4:$C$1000," - 노무비")</f>
        <v>2</v>
      </c>
    </row>
    <row r="10" spans="1:16" x14ac:dyDescent="0.45">
      <c r="A10" t="s">
        <v>69</v>
      </c>
      <c r="B10">
        <f>SUMIFS(Sheet1!D$4:D$1000,Sheet1!$A$4:$A$1000,"&gt;="&amp;Report_P1!$K$5,Sheet1!$A$4:$A$1000,"&lt;="&amp;Report_P1!$K$6,Sheet1!$B$4:$B$1000,"계획",Sheet1!$C$4:$C$1000," - 경비")</f>
        <v>2</v>
      </c>
      <c r="C10">
        <f>SUMIFS(Sheet1!E$4:E$1000,Sheet1!$A$4:$A$1000,"&gt;="&amp;Report_P1!$K$5,Sheet1!$A$4:$A$1000,"&lt;="&amp;Report_P1!$K$6,Sheet1!$B$4:$B$1000,"계획",Sheet1!$C$4:$C$1000," - 경비")</f>
        <v>2</v>
      </c>
      <c r="D10">
        <f>SUMIFS(Sheet1!F$4:F$1000,Sheet1!$A$4:$A$1000,"&gt;="&amp;Report_P1!$K$5,Sheet1!$A$4:$A$1000,"&lt;="&amp;Report_P1!$K$6,Sheet1!$B$4:$B$1000,"계획",Sheet1!$C$4:$C$1000," - 경비")</f>
        <v>2</v>
      </c>
      <c r="E10">
        <f>SUMIFS(Sheet1!G$4:G$1000,Sheet1!$A$4:$A$1000,"&gt;="&amp;Report_P1!$K$5,Sheet1!$A$4:$A$1000,"&lt;="&amp;Report_P1!$K$6,Sheet1!$B$4:$B$1000,"계획",Sheet1!$C$4:$C$1000," - 경비")</f>
        <v>0</v>
      </c>
      <c r="F10">
        <f>SUMIFS(Sheet1!H$4:H$1000,Sheet1!$A$4:$A$1000,"&gt;="&amp;Report_P1!$K$5,Sheet1!$A$4:$A$1000,"&lt;="&amp;Report_P1!$K$6,Sheet1!$B$4:$B$1000,"계획",Sheet1!$C$4:$C$1000," - 경비")</f>
        <v>2</v>
      </c>
      <c r="G10">
        <f>SUMIFS(Sheet1!I$4:I$1000,Sheet1!$A$4:$A$1000,"&gt;="&amp;Report_P1!$K$5,Sheet1!$A$4:$A$1000,"&lt;="&amp;Report_P1!$K$6,Sheet1!$B$4:$B$1000,"계획",Sheet1!$C$4:$C$1000," - 경비")</f>
        <v>2</v>
      </c>
      <c r="H10">
        <f>SUMIFS(Sheet1!J$4:J$1000,Sheet1!$A$4:$A$1000,"&gt;="&amp;Report_P1!$K$5,Sheet1!$A$4:$A$1000,"&lt;="&amp;Report_P1!$K$6,Sheet1!$B$4:$B$1000,"계획",Sheet1!$C$4:$C$1000," - 경비")</f>
        <v>2</v>
      </c>
      <c r="I10">
        <f>SUMIFS(Sheet1!K$4:K$1000,Sheet1!$A$4:$A$1000,"&gt;="&amp;Report_P1!$K$5,Sheet1!$A$4:$A$1000,"&lt;="&amp;Report_P1!$K$6,Sheet1!$B$4:$B$1000,"계획",Sheet1!$C$4:$C$1000," - 경비")</f>
        <v>2</v>
      </c>
      <c r="J10">
        <f>SUMIFS(Sheet1!L$4:L$1000,Sheet1!$A$4:$A$1000,"&gt;="&amp;Report_P1!$K$5,Sheet1!$A$4:$A$1000,"&lt;="&amp;Report_P1!$K$6,Sheet1!$B$4:$B$1000,"계획",Sheet1!$C$4:$C$1000," - 경비")</f>
        <v>2</v>
      </c>
      <c r="K10">
        <f>SUMIFS(Sheet1!M$4:M$1000,Sheet1!$A$4:$A$1000,"&gt;="&amp;Report_P1!$K$5,Sheet1!$A$4:$A$1000,"&lt;="&amp;Report_P1!$K$6,Sheet1!$B$4:$B$1000,"계획",Sheet1!$C$4:$C$1000," - 경비")</f>
        <v>2</v>
      </c>
      <c r="L10">
        <f>SUMIFS(Sheet1!N$4:N$1000,Sheet1!$A$4:$A$1000,"&gt;="&amp;Report_P1!$K$5,Sheet1!$A$4:$A$1000,"&lt;="&amp;Report_P1!$K$6,Sheet1!$B$4:$B$1000,"계획",Sheet1!$C$4:$C$1000," - 경비")</f>
        <v>2</v>
      </c>
      <c r="M10">
        <f>SUMIFS(Sheet1!O$4:O$1000,Sheet1!$A$4:$A$1000,"&gt;="&amp;Report_P1!$K$5,Sheet1!$A$4:$A$1000,"&lt;="&amp;Report_P1!$K$6,Sheet1!$B$4:$B$1000,"계획",Sheet1!$C$4:$C$1000," - 경비")</f>
        <v>2</v>
      </c>
      <c r="N10">
        <f>SUMIFS(Sheet1!P$4:P$1000,Sheet1!$A$4:$A$1000,"&gt;="&amp;Report_P1!$K$5,Sheet1!$A$4:$A$1000,"&lt;="&amp;Report_P1!$K$6,Sheet1!$B$4:$B$1000,"계획",Sheet1!$C$4:$C$1000," - 경비")</f>
        <v>2</v>
      </c>
      <c r="O10">
        <f>SUMIFS(Sheet1!Q$4:Q$1000,Sheet1!$A$4:$A$1000,"&gt;="&amp;Report_P1!$K$5,Sheet1!$A$4:$A$1000,"&lt;="&amp;Report_P1!$K$6,Sheet1!$B$4:$B$1000,"계획",Sheet1!$C$4:$C$1000," - 경비")</f>
        <v>2</v>
      </c>
      <c r="P10">
        <f>SUMIFS(Sheet1!R$4:R$1000,Sheet1!$A$4:$A$1000,"&gt;="&amp;Report_P1!$K$5,Sheet1!$A$4:$A$1000,"&lt;="&amp;Report_P1!$K$6,Sheet1!$B$4:$B$1000,"계획",Sheet1!$C$4:$C$1000," - 경비")</f>
        <v>2</v>
      </c>
    </row>
    <row r="11" spans="1:16" x14ac:dyDescent="0.45">
      <c r="A11" t="s">
        <v>70</v>
      </c>
      <c r="B11">
        <f>SUMIFS(Sheet1!D$4:D$1000,Sheet1!$A$4:$A$1000,"&gt;="&amp;Report_P1!$K$5,Sheet1!$A$4:$A$1000,"&lt;="&amp;Report_P1!$K$6,Sheet1!$B$4:$B$1000,"실적",Sheet1!$C$4:$C$1000," - 경비")</f>
        <v>2</v>
      </c>
      <c r="C11">
        <f>SUMIFS(Sheet1!E$4:E$1000,Sheet1!$A$4:$A$1000,"&gt;="&amp;Report_P1!$K$5,Sheet1!$A$4:$A$1000,"&lt;="&amp;Report_P1!$K$6,Sheet1!$B$4:$B$1000,"실적",Sheet1!$C$4:$C$1000," - 경비")</f>
        <v>2</v>
      </c>
      <c r="D11">
        <f>SUMIFS(Sheet1!F$4:F$1000,Sheet1!$A$4:$A$1000,"&gt;="&amp;Report_P1!$K$5,Sheet1!$A$4:$A$1000,"&lt;="&amp;Report_P1!$K$6,Sheet1!$B$4:$B$1000,"실적",Sheet1!$C$4:$C$1000," - 경비")</f>
        <v>2</v>
      </c>
      <c r="E11">
        <f>SUMIFS(Sheet1!G$4:G$1000,Sheet1!$A$4:$A$1000,"&gt;="&amp;Report_P1!$K$5,Sheet1!$A$4:$A$1000,"&lt;="&amp;Report_P1!$K$6,Sheet1!$B$4:$B$1000,"실적",Sheet1!$C$4:$C$1000," - 경비")</f>
        <v>0</v>
      </c>
      <c r="F11">
        <f>SUMIFS(Sheet1!H$4:H$1000,Sheet1!$A$4:$A$1000,"&gt;="&amp;Report_P1!$K$5,Sheet1!$A$4:$A$1000,"&lt;="&amp;Report_P1!$K$6,Sheet1!$B$4:$B$1000,"실적",Sheet1!$C$4:$C$1000," - 경비")</f>
        <v>2</v>
      </c>
      <c r="G11">
        <f>SUMIFS(Sheet1!I$4:I$1000,Sheet1!$A$4:$A$1000,"&gt;="&amp;Report_P1!$K$5,Sheet1!$A$4:$A$1000,"&lt;="&amp;Report_P1!$K$6,Sheet1!$B$4:$B$1000,"실적",Sheet1!$C$4:$C$1000," - 경비")</f>
        <v>2</v>
      </c>
      <c r="H11">
        <f>SUMIFS(Sheet1!J$4:J$1000,Sheet1!$A$4:$A$1000,"&gt;="&amp;Report_P1!$K$5,Sheet1!$A$4:$A$1000,"&lt;="&amp;Report_P1!$K$6,Sheet1!$B$4:$B$1000,"실적",Sheet1!$C$4:$C$1000," - 경비")</f>
        <v>2</v>
      </c>
      <c r="I11">
        <f>SUMIFS(Sheet1!K$4:K$1000,Sheet1!$A$4:$A$1000,"&gt;="&amp;Report_P1!$K$5,Sheet1!$A$4:$A$1000,"&lt;="&amp;Report_P1!$K$6,Sheet1!$B$4:$B$1000,"실적",Sheet1!$C$4:$C$1000," - 경비")</f>
        <v>2</v>
      </c>
      <c r="J11">
        <f>SUMIFS(Sheet1!L$4:L$1000,Sheet1!$A$4:$A$1000,"&gt;="&amp;Report_P1!$K$5,Sheet1!$A$4:$A$1000,"&lt;="&amp;Report_P1!$K$6,Sheet1!$B$4:$B$1000,"실적",Sheet1!$C$4:$C$1000," - 경비")</f>
        <v>2</v>
      </c>
      <c r="K11">
        <f>SUMIFS(Sheet1!M$4:M$1000,Sheet1!$A$4:$A$1000,"&gt;="&amp;Report_P1!$K$5,Sheet1!$A$4:$A$1000,"&lt;="&amp;Report_P1!$K$6,Sheet1!$B$4:$B$1000,"실적",Sheet1!$C$4:$C$1000," - 경비")</f>
        <v>0</v>
      </c>
      <c r="L11">
        <f>SUMIFS(Sheet1!N$4:N$1000,Sheet1!$A$4:$A$1000,"&gt;="&amp;Report_P1!$K$5,Sheet1!$A$4:$A$1000,"&lt;="&amp;Report_P1!$K$6,Sheet1!$B$4:$B$1000,"실적",Sheet1!$C$4:$C$1000," - 경비")</f>
        <v>2</v>
      </c>
      <c r="M11">
        <f>SUMIFS(Sheet1!O$4:O$1000,Sheet1!$A$4:$A$1000,"&gt;="&amp;Report_P1!$K$5,Sheet1!$A$4:$A$1000,"&lt;="&amp;Report_P1!$K$6,Sheet1!$B$4:$B$1000,"실적",Sheet1!$C$4:$C$1000," - 경비")</f>
        <v>2</v>
      </c>
      <c r="N11">
        <f>SUMIFS(Sheet1!P$4:P$1000,Sheet1!$A$4:$A$1000,"&gt;="&amp;Report_P1!$K$5,Sheet1!$A$4:$A$1000,"&lt;="&amp;Report_P1!$K$6,Sheet1!$B$4:$B$1000,"실적",Sheet1!$C$4:$C$1000," - 경비")</f>
        <v>2</v>
      </c>
      <c r="O11">
        <f>SUMIFS(Sheet1!Q$4:Q$1000,Sheet1!$A$4:$A$1000,"&gt;="&amp;Report_P1!$K$5,Sheet1!$A$4:$A$1000,"&lt;="&amp;Report_P1!$K$6,Sheet1!$B$4:$B$1000,"실적",Sheet1!$C$4:$C$1000," - 경비")</f>
        <v>2</v>
      </c>
      <c r="P11">
        <f>SUMIFS(Sheet1!R$4:R$1000,Sheet1!$A$4:$A$1000,"&gt;="&amp;Report_P1!$K$5,Sheet1!$A$4:$A$1000,"&lt;="&amp;Report_P1!$K$6,Sheet1!$B$4:$B$1000,"실적",Sheet1!$C$4:$C$1000," - 경비")</f>
        <v>2</v>
      </c>
    </row>
    <row r="12" spans="1:16" x14ac:dyDescent="0.45">
      <c r="A12" t="s">
        <v>71</v>
      </c>
      <c r="B12">
        <f>SUMIFS(Sheet1!D$4:D$1000,Sheet1!$A$4:$A$1000,"&gt;="&amp;Report_P1!$K$5,Sheet1!$A$4:$A$1000,"&lt;="&amp;Report_P1!$K$6,Sheet1!$B$4:$B$1000,"계획",Sheet1!$C$4:$C$1000,"판관비")</f>
        <v>2</v>
      </c>
      <c r="C12">
        <f>SUMIFS(Sheet1!E$4:E$1000,Sheet1!$A$4:$A$1000,"&gt;="&amp;Report_P1!$K$5,Sheet1!$A$4:$A$1000,"&lt;="&amp;Report_P1!$K$6,Sheet1!$B$4:$B$1000,"계획",Sheet1!$C$4:$C$1000,"판관비")</f>
        <v>2</v>
      </c>
      <c r="D12">
        <f>SUMIFS(Sheet1!F$4:F$1000,Sheet1!$A$4:$A$1000,"&gt;="&amp;Report_P1!$K$5,Sheet1!$A$4:$A$1000,"&lt;="&amp;Report_P1!$K$6,Sheet1!$B$4:$B$1000,"계획",Sheet1!$C$4:$C$1000,"판관비")</f>
        <v>2</v>
      </c>
      <c r="E12">
        <f>SUMIFS(Sheet1!G$4:G$1000,Sheet1!$A$4:$A$1000,"&gt;="&amp;Report_P1!$K$5,Sheet1!$A$4:$A$1000,"&lt;="&amp;Report_P1!$K$6,Sheet1!$B$4:$B$1000,"계획",Sheet1!$C$4:$C$1000,"판관비")</f>
        <v>2</v>
      </c>
      <c r="F12">
        <f>SUMIFS(Sheet1!H$4:H$1000,Sheet1!$A$4:$A$1000,"&gt;="&amp;Report_P1!$K$5,Sheet1!$A$4:$A$1000,"&lt;="&amp;Report_P1!$K$6,Sheet1!$B$4:$B$1000,"계획",Sheet1!$C$4:$C$1000,"판관비")</f>
        <v>2</v>
      </c>
      <c r="G12">
        <f>SUMIFS(Sheet1!I$4:I$1000,Sheet1!$A$4:$A$1000,"&gt;="&amp;Report_P1!$K$5,Sheet1!$A$4:$A$1000,"&lt;="&amp;Report_P1!$K$6,Sheet1!$B$4:$B$1000,"계획",Sheet1!$C$4:$C$1000,"판관비")</f>
        <v>2</v>
      </c>
      <c r="H12">
        <f>SUMIFS(Sheet1!J$4:J$1000,Sheet1!$A$4:$A$1000,"&gt;="&amp;Report_P1!$K$5,Sheet1!$A$4:$A$1000,"&lt;="&amp;Report_P1!$K$6,Sheet1!$B$4:$B$1000,"계획",Sheet1!$C$4:$C$1000,"판관비")</f>
        <v>2</v>
      </c>
      <c r="I12">
        <f>SUMIFS(Sheet1!K$4:K$1000,Sheet1!$A$4:$A$1000,"&gt;="&amp;Report_P1!$K$5,Sheet1!$A$4:$A$1000,"&lt;="&amp;Report_P1!$K$6,Sheet1!$B$4:$B$1000,"계획",Sheet1!$C$4:$C$1000,"판관비")</f>
        <v>2</v>
      </c>
      <c r="J12">
        <f>SUMIFS(Sheet1!L$4:L$1000,Sheet1!$A$4:$A$1000,"&gt;="&amp;Report_P1!$K$5,Sheet1!$A$4:$A$1000,"&lt;="&amp;Report_P1!$K$6,Sheet1!$B$4:$B$1000,"계획",Sheet1!$C$4:$C$1000,"판관비")</f>
        <v>2</v>
      </c>
      <c r="K12">
        <f>SUMIFS(Sheet1!M$4:M$1000,Sheet1!$A$4:$A$1000,"&gt;="&amp;Report_P1!$K$5,Sheet1!$A$4:$A$1000,"&lt;="&amp;Report_P1!$K$6,Sheet1!$B$4:$B$1000,"계획",Sheet1!$C$4:$C$1000,"판관비")</f>
        <v>2</v>
      </c>
      <c r="L12">
        <f>SUMIFS(Sheet1!N$4:N$1000,Sheet1!$A$4:$A$1000,"&gt;="&amp;Report_P1!$K$5,Sheet1!$A$4:$A$1000,"&lt;="&amp;Report_P1!$K$6,Sheet1!$B$4:$B$1000,"계획",Sheet1!$C$4:$C$1000,"판관비")</f>
        <v>2</v>
      </c>
      <c r="M12">
        <f>SUMIFS(Sheet1!O$4:O$1000,Sheet1!$A$4:$A$1000,"&gt;="&amp;Report_P1!$K$5,Sheet1!$A$4:$A$1000,"&lt;="&amp;Report_P1!$K$6,Sheet1!$B$4:$B$1000,"계획",Sheet1!$C$4:$C$1000,"판관비")</f>
        <v>2</v>
      </c>
      <c r="N12">
        <f>SUMIFS(Sheet1!P$4:P$1000,Sheet1!$A$4:$A$1000,"&gt;="&amp;Report_P1!$K$5,Sheet1!$A$4:$A$1000,"&lt;="&amp;Report_P1!$K$6,Sheet1!$B$4:$B$1000,"계획",Sheet1!$C$4:$C$1000,"판관비")</f>
        <v>2</v>
      </c>
      <c r="O12">
        <f>SUMIFS(Sheet1!Q$4:Q$1000,Sheet1!$A$4:$A$1000,"&gt;="&amp;Report_P1!$K$5,Sheet1!$A$4:$A$1000,"&lt;="&amp;Report_P1!$K$6,Sheet1!$B$4:$B$1000,"계획",Sheet1!$C$4:$C$1000,"판관비")</f>
        <v>2</v>
      </c>
      <c r="P12">
        <f>SUMIFS(Sheet1!R$4:R$1000,Sheet1!$A$4:$A$1000,"&gt;="&amp;Report_P1!$K$5,Sheet1!$A$4:$A$1000,"&lt;="&amp;Report_P1!$K$6,Sheet1!$B$4:$B$1000,"계획",Sheet1!$C$4:$C$1000,"판관비")</f>
        <v>2</v>
      </c>
    </row>
    <row r="13" spans="1:16" x14ac:dyDescent="0.45">
      <c r="A13" t="s">
        <v>72</v>
      </c>
      <c r="B13">
        <f>SUMIFS(Sheet1!D$4:D$1000,Sheet1!$A$4:$A$1000,"&gt;="&amp;Report_P1!$K$5,Sheet1!$A$4:$A$1000,"&lt;="&amp;Report_P1!$K$6,Sheet1!$B$4:$B$1000,"실적",Sheet1!$C$4:$C$1000,"판관비")</f>
        <v>6</v>
      </c>
      <c r="C13">
        <f>SUMIFS(Sheet1!E$4:E$1000,Sheet1!$A$4:$A$1000,"&gt;="&amp;Report_P1!$K$5,Sheet1!$A$4:$A$1000,"&lt;="&amp;Report_P1!$K$6,Sheet1!$B$4:$B$1000,"실적",Sheet1!$C$4:$C$1000,"판관비")</f>
        <v>6</v>
      </c>
      <c r="D13">
        <f>SUMIFS(Sheet1!F$4:F$1000,Sheet1!$A$4:$A$1000,"&gt;="&amp;Report_P1!$K$5,Sheet1!$A$4:$A$1000,"&lt;="&amp;Report_P1!$K$6,Sheet1!$B$4:$B$1000,"실적",Sheet1!$C$4:$C$1000,"판관비")</f>
        <v>6</v>
      </c>
      <c r="E13">
        <f>SUMIFS(Sheet1!G$4:G$1000,Sheet1!$A$4:$A$1000,"&gt;="&amp;Report_P1!$K$5,Sheet1!$A$4:$A$1000,"&lt;="&amp;Report_P1!$K$6,Sheet1!$B$4:$B$1000,"실적",Sheet1!$C$4:$C$1000,"판관비")</f>
        <v>4</v>
      </c>
      <c r="F13">
        <f>SUMIFS(Sheet1!H$4:H$1000,Sheet1!$A$4:$A$1000,"&gt;="&amp;Report_P1!$K$5,Sheet1!$A$4:$A$1000,"&lt;="&amp;Report_P1!$K$6,Sheet1!$B$4:$B$1000,"실적",Sheet1!$C$4:$C$1000,"판관비")</f>
        <v>1</v>
      </c>
      <c r="G13">
        <f>SUMIFS(Sheet1!I$4:I$1000,Sheet1!$A$4:$A$1000,"&gt;="&amp;Report_P1!$K$5,Sheet1!$A$4:$A$1000,"&lt;="&amp;Report_P1!$K$6,Sheet1!$B$4:$B$1000,"실적",Sheet1!$C$4:$C$1000,"판관비")</f>
        <v>1</v>
      </c>
      <c r="H13">
        <f>SUMIFS(Sheet1!J$4:J$1000,Sheet1!$A$4:$A$1000,"&gt;="&amp;Report_P1!$K$5,Sheet1!$A$4:$A$1000,"&lt;="&amp;Report_P1!$K$6,Sheet1!$B$4:$B$1000,"실적",Sheet1!$C$4:$C$1000,"판관비")</f>
        <v>1</v>
      </c>
      <c r="I13">
        <f>SUMIFS(Sheet1!K$4:K$1000,Sheet1!$A$4:$A$1000,"&gt;="&amp;Report_P1!$K$5,Sheet1!$A$4:$A$1000,"&lt;="&amp;Report_P1!$K$6,Sheet1!$B$4:$B$1000,"실적",Sheet1!$C$4:$C$1000,"판관비")</f>
        <v>2</v>
      </c>
      <c r="J13">
        <f>SUMIFS(Sheet1!L$4:L$1000,Sheet1!$A$4:$A$1000,"&gt;="&amp;Report_P1!$K$5,Sheet1!$A$4:$A$1000,"&lt;="&amp;Report_P1!$K$6,Sheet1!$B$4:$B$1000,"실적",Sheet1!$C$4:$C$1000,"판관비")</f>
        <v>2</v>
      </c>
      <c r="K13">
        <f>SUMIFS(Sheet1!M$4:M$1000,Sheet1!$A$4:$A$1000,"&gt;="&amp;Report_P1!$K$5,Sheet1!$A$4:$A$1000,"&lt;="&amp;Report_P1!$K$6,Sheet1!$B$4:$B$1000,"실적",Sheet1!$C$4:$C$1000,"판관비")</f>
        <v>2</v>
      </c>
      <c r="L13">
        <f>SUMIFS(Sheet1!N$4:N$1000,Sheet1!$A$4:$A$1000,"&gt;="&amp;Report_P1!$K$5,Sheet1!$A$4:$A$1000,"&lt;="&amp;Report_P1!$K$6,Sheet1!$B$4:$B$1000,"실적",Sheet1!$C$4:$C$1000,"판관비")</f>
        <v>2</v>
      </c>
      <c r="M13">
        <f>SUMIFS(Sheet1!O$4:O$1000,Sheet1!$A$4:$A$1000,"&gt;="&amp;Report_P1!$K$5,Sheet1!$A$4:$A$1000,"&lt;="&amp;Report_P1!$K$6,Sheet1!$B$4:$B$1000,"실적",Sheet1!$C$4:$C$1000,"판관비")</f>
        <v>5</v>
      </c>
      <c r="N13">
        <f>SUMIFS(Sheet1!P$4:P$1000,Sheet1!$A$4:$A$1000,"&gt;="&amp;Report_P1!$K$5,Sheet1!$A$4:$A$1000,"&lt;="&amp;Report_P1!$K$6,Sheet1!$B$4:$B$1000,"실적",Sheet1!$C$4:$C$1000,"판관비")</f>
        <v>5</v>
      </c>
      <c r="O13">
        <f>SUMIFS(Sheet1!Q$4:Q$1000,Sheet1!$A$4:$A$1000,"&gt;="&amp;Report_P1!$K$5,Sheet1!$A$4:$A$1000,"&lt;="&amp;Report_P1!$K$6,Sheet1!$B$4:$B$1000,"실적",Sheet1!$C$4:$C$1000,"판관비")</f>
        <v>5</v>
      </c>
      <c r="P13">
        <f>SUMIFS(Sheet1!R$4:R$1000,Sheet1!$A$4:$A$1000,"&gt;="&amp;Report_P1!$K$5,Sheet1!$A$4:$A$1000,"&lt;="&amp;Report_P1!$K$6,Sheet1!$B$4:$B$1000,"실적",Sheet1!$C$4:$C$1000,"판관비")</f>
        <v>5</v>
      </c>
    </row>
    <row r="14" spans="1:16" x14ac:dyDescent="0.45">
      <c r="A14" t="s">
        <v>73</v>
      </c>
      <c r="B14">
        <f>SUMIFS(Sheet1!D$4:D$1000,Sheet1!$A$4:$A$1000,"&gt;="&amp;Report_P1!$K$5,Sheet1!$A$4:$A$1000,"&lt;="&amp;Report_P1!$K$6,Sheet1!$B$4:$B$1000,"계획",Sheet1!$C$4:$C$1000,"영업외")</f>
        <v>-2</v>
      </c>
      <c r="C14">
        <f>SUMIFS(Sheet1!E$4:E$1000,Sheet1!$A$4:$A$1000,"&gt;="&amp;Report_P1!$K$5,Sheet1!$A$4:$A$1000,"&lt;="&amp;Report_P1!$K$6,Sheet1!$B$4:$B$1000,"계획",Sheet1!$C$4:$C$1000,"영업외")</f>
        <v>-2</v>
      </c>
      <c r="D14">
        <f>SUMIFS(Sheet1!F$4:F$1000,Sheet1!$A$4:$A$1000,"&gt;="&amp;Report_P1!$K$5,Sheet1!$A$4:$A$1000,"&lt;="&amp;Report_P1!$K$6,Sheet1!$B$4:$B$1000,"계획",Sheet1!$C$4:$C$1000,"영업외")</f>
        <v>-2</v>
      </c>
      <c r="E14">
        <f>SUMIFS(Sheet1!G$4:G$1000,Sheet1!$A$4:$A$1000,"&gt;="&amp;Report_P1!$K$5,Sheet1!$A$4:$A$1000,"&lt;="&amp;Report_P1!$K$6,Sheet1!$B$4:$B$1000,"계획",Sheet1!$C$4:$C$1000,"영업외")</f>
        <v>-2</v>
      </c>
      <c r="F14">
        <f>SUMIFS(Sheet1!H$4:H$1000,Sheet1!$A$4:$A$1000,"&gt;="&amp;Report_P1!$K$5,Sheet1!$A$4:$A$1000,"&lt;="&amp;Report_P1!$K$6,Sheet1!$B$4:$B$1000,"계획",Sheet1!$C$4:$C$1000,"영업외")</f>
        <v>-2</v>
      </c>
      <c r="G14">
        <f>SUMIFS(Sheet1!I$4:I$1000,Sheet1!$A$4:$A$1000,"&gt;="&amp;Report_P1!$K$5,Sheet1!$A$4:$A$1000,"&lt;="&amp;Report_P1!$K$6,Sheet1!$B$4:$B$1000,"계획",Sheet1!$C$4:$C$1000,"영업외")</f>
        <v>-2</v>
      </c>
      <c r="H14">
        <f>SUMIFS(Sheet1!J$4:J$1000,Sheet1!$A$4:$A$1000,"&gt;="&amp;Report_P1!$K$5,Sheet1!$A$4:$A$1000,"&lt;="&amp;Report_P1!$K$6,Sheet1!$B$4:$B$1000,"계획",Sheet1!$C$4:$C$1000,"영업외")</f>
        <v>-2</v>
      </c>
      <c r="I14">
        <f>SUMIFS(Sheet1!K$4:K$1000,Sheet1!$A$4:$A$1000,"&gt;="&amp;Report_P1!$K$5,Sheet1!$A$4:$A$1000,"&lt;="&amp;Report_P1!$K$6,Sheet1!$B$4:$B$1000,"계획",Sheet1!$C$4:$C$1000,"영업외")</f>
        <v>-2</v>
      </c>
      <c r="J14">
        <f>SUMIFS(Sheet1!L$4:L$1000,Sheet1!$A$4:$A$1000,"&gt;="&amp;Report_P1!$K$5,Sheet1!$A$4:$A$1000,"&lt;="&amp;Report_P1!$K$6,Sheet1!$B$4:$B$1000,"계획",Sheet1!$C$4:$C$1000,"영업외")</f>
        <v>-2</v>
      </c>
      <c r="K14">
        <f>SUMIFS(Sheet1!M$4:M$1000,Sheet1!$A$4:$A$1000,"&gt;="&amp;Report_P1!$K$5,Sheet1!$A$4:$A$1000,"&lt;="&amp;Report_P1!$K$6,Sheet1!$B$4:$B$1000,"계획",Sheet1!$C$4:$C$1000,"영업외")</f>
        <v>-2</v>
      </c>
      <c r="L14">
        <f>SUMIFS(Sheet1!N$4:N$1000,Sheet1!$A$4:$A$1000,"&gt;="&amp;Report_P1!$K$5,Sheet1!$A$4:$A$1000,"&lt;="&amp;Report_P1!$K$6,Sheet1!$B$4:$B$1000,"계획",Sheet1!$C$4:$C$1000,"영업외")</f>
        <v>-2</v>
      </c>
      <c r="M14">
        <f>SUMIFS(Sheet1!O$4:O$1000,Sheet1!$A$4:$A$1000,"&gt;="&amp;Report_P1!$K$5,Sheet1!$A$4:$A$1000,"&lt;="&amp;Report_P1!$K$6,Sheet1!$B$4:$B$1000,"계획",Sheet1!$C$4:$C$1000,"영업외")</f>
        <v>-2</v>
      </c>
      <c r="N14">
        <f>SUMIFS(Sheet1!P$4:P$1000,Sheet1!$A$4:$A$1000,"&gt;="&amp;Report_P1!$K$5,Sheet1!$A$4:$A$1000,"&lt;="&amp;Report_P1!$K$6,Sheet1!$B$4:$B$1000,"계획",Sheet1!$C$4:$C$1000,"영업외")</f>
        <v>-2</v>
      </c>
      <c r="O14">
        <f>SUMIFS(Sheet1!Q$4:Q$1000,Sheet1!$A$4:$A$1000,"&gt;="&amp;Report_P1!$K$5,Sheet1!$A$4:$A$1000,"&lt;="&amp;Report_P1!$K$6,Sheet1!$B$4:$B$1000,"계획",Sheet1!$C$4:$C$1000,"영업외")</f>
        <v>-2</v>
      </c>
      <c r="P14">
        <f>SUMIFS(Sheet1!R$4:R$1000,Sheet1!$A$4:$A$1000,"&gt;="&amp;Report_P1!$K$5,Sheet1!$A$4:$A$1000,"&lt;="&amp;Report_P1!$K$6,Sheet1!$B$4:$B$1000,"계획",Sheet1!$C$4:$C$1000,"영업외")</f>
        <v>-2</v>
      </c>
    </row>
    <row r="15" spans="1:16" x14ac:dyDescent="0.45">
      <c r="A15" t="s">
        <v>74</v>
      </c>
      <c r="B15">
        <f>SUMIFS(Sheet1!D$4:D$1000,Sheet1!$A$4:$A$1000,"&gt;="&amp;Report_P1!$K$5,Sheet1!$A$4:$A$1000,"&lt;="&amp;Report_P1!$K$6,Sheet1!$B$4:$B$1000,"실적",Sheet1!$C$4:$C$1000,"영업외")</f>
        <v>1</v>
      </c>
      <c r="C15">
        <f>SUMIFS(Sheet1!E$4:E$1000,Sheet1!$A$4:$A$1000,"&gt;="&amp;Report_P1!$K$5,Sheet1!$A$4:$A$1000,"&lt;="&amp;Report_P1!$K$6,Sheet1!$B$4:$B$1000,"실적",Sheet1!$C$4:$C$1000,"영업외")</f>
        <v>1</v>
      </c>
      <c r="D15">
        <f>SUMIFS(Sheet1!F$4:F$1000,Sheet1!$A$4:$A$1000,"&gt;="&amp;Report_P1!$K$5,Sheet1!$A$4:$A$1000,"&lt;="&amp;Report_P1!$K$6,Sheet1!$B$4:$B$1000,"실적",Sheet1!$C$4:$C$1000,"영업외")</f>
        <v>1</v>
      </c>
      <c r="E15">
        <f>SUMIFS(Sheet1!G$4:G$1000,Sheet1!$A$4:$A$1000,"&gt;="&amp;Report_P1!$K$5,Sheet1!$A$4:$A$1000,"&lt;="&amp;Report_P1!$K$6,Sheet1!$B$4:$B$1000,"실적",Sheet1!$C$4:$C$1000,"영업외")</f>
        <v>2</v>
      </c>
      <c r="F15">
        <f>SUMIFS(Sheet1!H$4:H$1000,Sheet1!$A$4:$A$1000,"&gt;="&amp;Report_P1!$K$5,Sheet1!$A$4:$A$1000,"&lt;="&amp;Report_P1!$K$6,Sheet1!$B$4:$B$1000,"실적",Sheet1!$C$4:$C$1000,"영업외")</f>
        <v>-3</v>
      </c>
      <c r="G15">
        <f>SUMIFS(Sheet1!I$4:I$1000,Sheet1!$A$4:$A$1000,"&gt;="&amp;Report_P1!$K$5,Sheet1!$A$4:$A$1000,"&lt;="&amp;Report_P1!$K$6,Sheet1!$B$4:$B$1000,"실적",Sheet1!$C$4:$C$1000,"영업외")</f>
        <v>-3</v>
      </c>
      <c r="H15">
        <f>SUMIFS(Sheet1!J$4:J$1000,Sheet1!$A$4:$A$1000,"&gt;="&amp;Report_P1!$K$5,Sheet1!$A$4:$A$1000,"&lt;="&amp;Report_P1!$K$6,Sheet1!$B$4:$B$1000,"실적",Sheet1!$C$4:$C$1000,"영업외")</f>
        <v>-3</v>
      </c>
      <c r="I15">
        <f>SUMIFS(Sheet1!K$4:K$1000,Sheet1!$A$4:$A$1000,"&gt;="&amp;Report_P1!$K$5,Sheet1!$A$4:$A$1000,"&lt;="&amp;Report_P1!$K$6,Sheet1!$B$4:$B$1000,"실적",Sheet1!$C$4:$C$1000,"영업외")</f>
        <v>-4</v>
      </c>
      <c r="J15">
        <f>SUMIFS(Sheet1!L$4:L$1000,Sheet1!$A$4:$A$1000,"&gt;="&amp;Report_P1!$K$5,Sheet1!$A$4:$A$1000,"&lt;="&amp;Report_P1!$K$6,Sheet1!$B$4:$B$1000,"실적",Sheet1!$C$4:$C$1000,"영업외")</f>
        <v>-4</v>
      </c>
      <c r="K15">
        <f>SUMIFS(Sheet1!M$4:M$1000,Sheet1!$A$4:$A$1000,"&gt;="&amp;Report_P1!$K$5,Sheet1!$A$4:$A$1000,"&lt;="&amp;Report_P1!$K$6,Sheet1!$B$4:$B$1000,"실적",Sheet1!$C$4:$C$1000,"영업외")</f>
        <v>3</v>
      </c>
      <c r="L15">
        <f>SUMIFS(Sheet1!N$4:N$1000,Sheet1!$A$4:$A$1000,"&gt;="&amp;Report_P1!$K$5,Sheet1!$A$4:$A$1000,"&lt;="&amp;Report_P1!$K$6,Sheet1!$B$4:$B$1000,"실적",Sheet1!$C$4:$C$1000,"영업외")</f>
        <v>-4</v>
      </c>
      <c r="M15">
        <f>SUMIFS(Sheet1!O$4:O$1000,Sheet1!$A$4:$A$1000,"&gt;="&amp;Report_P1!$K$5,Sheet1!$A$4:$A$1000,"&lt;="&amp;Report_P1!$K$6,Sheet1!$B$4:$B$1000,"실적",Sheet1!$C$4:$C$1000,"영업외")</f>
        <v>-5</v>
      </c>
      <c r="N15">
        <f>SUMIFS(Sheet1!P$4:P$1000,Sheet1!$A$4:$A$1000,"&gt;="&amp;Report_P1!$K$5,Sheet1!$A$4:$A$1000,"&lt;="&amp;Report_P1!$K$6,Sheet1!$B$4:$B$1000,"실적",Sheet1!$C$4:$C$1000,"영업외")</f>
        <v>-5</v>
      </c>
      <c r="O15">
        <f>SUMIFS(Sheet1!Q$4:Q$1000,Sheet1!$A$4:$A$1000,"&gt;="&amp;Report_P1!$K$5,Sheet1!$A$4:$A$1000,"&lt;="&amp;Report_P1!$K$6,Sheet1!$B$4:$B$1000,"실적",Sheet1!$C$4:$C$1000,"영업외")</f>
        <v>-5</v>
      </c>
      <c r="P15">
        <f>SUMIFS(Sheet1!R$4:R$1000,Sheet1!$A$4:$A$1000,"&gt;="&amp;Report_P1!$K$5,Sheet1!$A$4:$A$1000,"&lt;="&amp;Report_P1!$K$6,Sheet1!$B$4:$B$1000,"실적",Sheet1!$C$4:$C$1000,"영업외")</f>
        <v>-5</v>
      </c>
    </row>
    <row r="16" spans="1:16" x14ac:dyDescent="0.45">
      <c r="A16" t="s">
        <v>75</v>
      </c>
      <c r="B16">
        <f t="shared" ref="B16:P16" si="0">IFERROR((B4/B2)-(B6/B2),0)</f>
        <v>0.625</v>
      </c>
      <c r="C16">
        <f t="shared" si="0"/>
        <v>0.625</v>
      </c>
      <c r="D16">
        <f t="shared" si="0"/>
        <v>0.625</v>
      </c>
      <c r="E16">
        <f t="shared" si="0"/>
        <v>0.25</v>
      </c>
      <c r="F16">
        <f t="shared" si="0"/>
        <v>0.625</v>
      </c>
      <c r="G16">
        <f t="shared" si="0"/>
        <v>0.625</v>
      </c>
      <c r="H16">
        <f t="shared" si="0"/>
        <v>0.625</v>
      </c>
      <c r="I16">
        <f t="shared" si="0"/>
        <v>0.625</v>
      </c>
      <c r="J16">
        <f t="shared" si="0"/>
        <v>0.625</v>
      </c>
      <c r="K16">
        <f t="shared" si="0"/>
        <v>0.625</v>
      </c>
      <c r="L16">
        <f t="shared" si="0"/>
        <v>0.625</v>
      </c>
      <c r="M16">
        <f t="shared" si="0"/>
        <v>0.625</v>
      </c>
      <c r="N16">
        <f t="shared" si="0"/>
        <v>0.625</v>
      </c>
      <c r="O16">
        <f t="shared" si="0"/>
        <v>0.625</v>
      </c>
      <c r="P16">
        <f t="shared" si="0"/>
        <v>0.625</v>
      </c>
    </row>
    <row r="17" spans="1:16" x14ac:dyDescent="0.45">
      <c r="A17" t="s">
        <v>76</v>
      </c>
      <c r="B17">
        <f t="shared" ref="B17:P17" si="1">IFERROR((B5/B3)-(B7/B3),0)</f>
        <v>0.64705882352941169</v>
      </c>
      <c r="C17">
        <f t="shared" si="1"/>
        <v>0.64705882352941169</v>
      </c>
      <c r="D17">
        <f t="shared" si="1"/>
        <v>0.64705882352941169</v>
      </c>
      <c r="E17">
        <f t="shared" si="1"/>
        <v>0.25</v>
      </c>
      <c r="F17">
        <f t="shared" si="1"/>
        <v>0.75</v>
      </c>
      <c r="G17">
        <f t="shared" si="1"/>
        <v>0.75</v>
      </c>
      <c r="H17">
        <f t="shared" si="1"/>
        <v>0.75</v>
      </c>
      <c r="I17">
        <f t="shared" si="1"/>
        <v>0.44444444444444442</v>
      </c>
      <c r="J17">
        <f t="shared" si="1"/>
        <v>0.44444444444444442</v>
      </c>
      <c r="K17">
        <f t="shared" si="1"/>
        <v>0</v>
      </c>
      <c r="L17">
        <f t="shared" si="1"/>
        <v>0.44444444444444442</v>
      </c>
      <c r="M17">
        <f t="shared" si="1"/>
        <v>0.66666666666666663</v>
      </c>
      <c r="N17">
        <f t="shared" si="1"/>
        <v>0.66666666666666663</v>
      </c>
      <c r="O17">
        <f t="shared" si="1"/>
        <v>0.66666666666666663</v>
      </c>
      <c r="P17">
        <f t="shared" si="1"/>
        <v>0.66666666666666663</v>
      </c>
    </row>
    <row r="18" spans="1:16" x14ac:dyDescent="0.45">
      <c r="A18" t="s">
        <v>77</v>
      </c>
      <c r="B18">
        <f t="shared" ref="B18:P18" si="2">B8+B10+B12</f>
        <v>6</v>
      </c>
      <c r="C18">
        <f t="shared" si="2"/>
        <v>6</v>
      </c>
      <c r="D18">
        <f t="shared" si="2"/>
        <v>6</v>
      </c>
      <c r="E18">
        <f t="shared" si="2"/>
        <v>2</v>
      </c>
      <c r="F18">
        <f t="shared" si="2"/>
        <v>6</v>
      </c>
      <c r="G18">
        <f t="shared" si="2"/>
        <v>6</v>
      </c>
      <c r="H18">
        <f t="shared" si="2"/>
        <v>6</v>
      </c>
      <c r="I18">
        <f t="shared" si="2"/>
        <v>6</v>
      </c>
      <c r="J18">
        <f t="shared" si="2"/>
        <v>6</v>
      </c>
      <c r="K18">
        <f t="shared" si="2"/>
        <v>6</v>
      </c>
      <c r="L18">
        <f t="shared" si="2"/>
        <v>6</v>
      </c>
      <c r="M18">
        <f t="shared" si="2"/>
        <v>6</v>
      </c>
      <c r="N18">
        <f t="shared" si="2"/>
        <v>6</v>
      </c>
      <c r="O18">
        <f t="shared" si="2"/>
        <v>6</v>
      </c>
      <c r="P18">
        <f t="shared" si="2"/>
        <v>6</v>
      </c>
    </row>
    <row r="19" spans="1:16" x14ac:dyDescent="0.45">
      <c r="A19" t="s">
        <v>78</v>
      </c>
      <c r="B19">
        <f t="shared" ref="B19:P19" si="3">B9+B11+B13</f>
        <v>10</v>
      </c>
      <c r="C19">
        <f t="shared" si="3"/>
        <v>10</v>
      </c>
      <c r="D19">
        <f t="shared" si="3"/>
        <v>10</v>
      </c>
      <c r="E19">
        <f t="shared" si="3"/>
        <v>4</v>
      </c>
      <c r="F19">
        <f t="shared" si="3"/>
        <v>5</v>
      </c>
      <c r="G19">
        <f t="shared" si="3"/>
        <v>5</v>
      </c>
      <c r="H19">
        <f t="shared" si="3"/>
        <v>5</v>
      </c>
      <c r="I19">
        <f t="shared" si="3"/>
        <v>6</v>
      </c>
      <c r="J19">
        <f t="shared" si="3"/>
        <v>6</v>
      </c>
      <c r="K19">
        <f t="shared" si="3"/>
        <v>2</v>
      </c>
      <c r="L19">
        <f t="shared" si="3"/>
        <v>6</v>
      </c>
      <c r="M19">
        <f t="shared" si="3"/>
        <v>9</v>
      </c>
      <c r="N19">
        <f t="shared" si="3"/>
        <v>9</v>
      </c>
      <c r="O19">
        <f t="shared" si="3"/>
        <v>9</v>
      </c>
      <c r="P19">
        <f t="shared" si="3"/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Sheet1</vt:lpstr>
      <vt:lpstr>Lists</vt:lpstr>
      <vt:lpstr>Report_P1</vt:lpstr>
      <vt:lpstr>Report_P2</vt:lpstr>
      <vt:lpstr>Calc</vt:lpstr>
      <vt:lpstr>PeriodList</vt:lpstr>
      <vt:lpstr>Report_P1!Print_Area</vt:lpstr>
      <vt:lpstr>Report_P2!Print_Area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강병규 책임매니저 글로벌재경팀</dc:creator>
  <cp:lastModifiedBy>x54150@365mmt.com</cp:lastModifiedBy>
  <dcterms:created xsi:type="dcterms:W3CDTF">2026-08-13T04:31:23Z</dcterms:created>
  <dcterms:modified xsi:type="dcterms:W3CDTF">2026-08-19T05:43:29Z</dcterms:modified>
</cp:coreProperties>
</file>